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13_ncr:1_{D930BCF2-CE8E-4803-A07D-2E215CAD826C}" xr6:coauthVersionLast="47" xr6:coauthVersionMax="47" xr10:uidLastSave="{00000000-0000-0000-0000-000000000000}"/>
  <bookViews>
    <workbookView xWindow="-120" yWindow="-120" windowWidth="20730" windowHeight="11160" firstSheet="6" activeTab="6" xr2:uid="{45309CB9-C35A-4111-BC59-7A6F0DFD4541}"/>
  </bookViews>
  <sheets>
    <sheet name="KPISs" sheetId="1" state="hidden" r:id="rId1"/>
    <sheet name="Rank Physician" sheetId="6" state="hidden" r:id="rId2"/>
    <sheet name="Rank Procedure" sheetId="3" state="hidden" r:id="rId3"/>
    <sheet name="Rank location" sheetId="4" state="hidden" r:id="rId4"/>
    <sheet name="Rank amount owed" sheetId="5" state="hidden" r:id="rId5"/>
    <sheet name="Pivot Tables" sheetId="8" state="hidden" r:id="rId6"/>
    <sheet name="Dashboard" sheetId="9" r:id="rId7"/>
  </sheets>
  <definedNames>
    <definedName name="Grosscharges">'Pivot Tables'!$B$21</definedName>
    <definedName name="Slicer_Insurer">#N/A</definedName>
    <definedName name="Slicer_Location_Name">#N/A</definedName>
    <definedName name="Slicer_Physician">#N/A</definedName>
    <definedName name="Slicer_Provider_Specialty">#N/A</definedName>
    <definedName name="Totalpatients">'Pivot Tables'!$E$21</definedName>
    <definedName name="Totalphysicians">'Pivot Tables'!$D$21</definedName>
    <definedName name="Totalrevenue">'Pivot Tables'!$C$21</definedName>
  </definedNames>
  <calcPr calcId="191029"/>
  <pivotCaches>
    <pivotCache cacheId="6" r:id="rId8"/>
    <pivotCache cacheId="7" r:id="rId9"/>
    <pivotCache cacheId="8" r:id="rId10"/>
    <pivotCache cacheId="9"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<sst xmlns="http://schemas.openxmlformats.org/spreadsheetml/2006/main" count="72" uniqueCount="41">
  <si>
    <t>Total Physicians</t>
  </si>
  <si>
    <t>Internal Medicine</t>
  </si>
  <si>
    <t>Family Medicine</t>
  </si>
  <si>
    <t>Radiology</t>
  </si>
  <si>
    <t>Physical Medicine &amp; Rehabilitation</t>
  </si>
  <si>
    <t>Obstetrics &amp; Gynecology</t>
  </si>
  <si>
    <t>Provider Specialty</t>
  </si>
  <si>
    <t>Procedure</t>
  </si>
  <si>
    <t>Angelstone Community Hospital</t>
  </si>
  <si>
    <t>Big Heart Community Hospital</t>
  </si>
  <si>
    <t>Principal Medical Clinic</t>
  </si>
  <si>
    <t>Guardian Medical Clinic</t>
  </si>
  <si>
    <t>Fairview General Hospital</t>
  </si>
  <si>
    <t>Location Name</t>
  </si>
  <si>
    <t>Patients</t>
  </si>
  <si>
    <t>Medicare</t>
  </si>
  <si>
    <t>Commercial</t>
  </si>
  <si>
    <t>Medicaid</t>
  </si>
  <si>
    <t>Other</t>
  </si>
  <si>
    <t>Total number of Patients</t>
  </si>
  <si>
    <t>Specialty with most procedures</t>
  </si>
  <si>
    <t xml:space="preserve">Specialty </t>
  </si>
  <si>
    <t>Dr. Hendricks</t>
  </si>
  <si>
    <t>Dr. Hurley</t>
  </si>
  <si>
    <t>Dr. Giles</t>
  </si>
  <si>
    <t>Dr. Miles</t>
  </si>
  <si>
    <t>Dr. Freeman</t>
  </si>
  <si>
    <t>Physician</t>
  </si>
  <si>
    <t>Total Procedure</t>
  </si>
  <si>
    <t>Adjustments</t>
  </si>
  <si>
    <t>Accounts Receivable</t>
  </si>
  <si>
    <t>Gross Charges</t>
  </si>
  <si>
    <t>Total Revenue</t>
  </si>
  <si>
    <t>Insurer</t>
  </si>
  <si>
    <t>Total amount owed</t>
  </si>
  <si>
    <t>Row Labels</t>
  </si>
  <si>
    <t>Grand Total</t>
  </si>
  <si>
    <t>Sum of Total amount owed</t>
  </si>
  <si>
    <t>Sum of Procedure</t>
  </si>
  <si>
    <t>Sum of Total Procedure</t>
  </si>
  <si>
    <t>Sum of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</si>
</sst>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00_);\([$$-409]#,##0.00\)"/>
    <numFmt numFmtId="165" formatCode="&quot;$&quot;#.##,,&quot;m&quot;"/>
    <numFmt numFmtId="166" formatCode="&quot;$&quot;#,##0.00"/>
  </numFmts>
  <fonts count="3" x14ac:knownFonts="1">
    <font>
      <sz val="11"/>
      <color theme="1"/>
      <name val="Aptos Narrow"/>
      <family val="2"/>
      <scheme val="minor"/>
    </font>
    <font>
      <b/>
      <sz val="11"/>
      <color theme="1"/>
      <name val="Aptos Narrow"/>
      <family val="2"/>
      <scheme val="minor"/>
    </font>
    <font>
      <sz val="9"/>
      <color rgb="FF008000"/>
      <name val="Cascadia Mono"/>
      <family val="3"/>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vertical="center"/>
    </xf>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3" fontId="1" fillId="0" borderId="0" xfId="0" applyNumberFormat="1" applyFont="1"/>
    <xf numFmtId="165" fontId="1" fillId="0" borderId="0" xfId="0" applyNumberFormat="1" applyFont="1"/>
    <xf numFmtId="165" fontId="0" fillId="0" borderId="0" xfId="0" applyNumberFormat="1"/>
    <xf numFmtId="4" fontId="1" fillId="0" borderId="0" xfId="0" applyNumberFormat="1" applyFont="1"/>
    <xf numFmtId="166" fontId="0" fillId="0" borderId="0" xfId="0" applyNumberFormat="1"/>
  </cellXfs>
  <cellStyles count="1">
    <cellStyle name="Normal" xfId="0" builtinId="0"/>
  </cellStyles>
  <dxfs count="10">
    <dxf>
      <numFmt numFmtId="3" formatCode="#,##0"/>
    </dxf>
    <dxf>
      <numFmt numFmtId="3" formatCode="#,##0"/>
    </dxf>
    <dxf>
      <numFmt numFmtId="3" formatCode="#,##0"/>
    </dxf>
    <dxf>
      <numFmt numFmtId="3" formatCode="#,##0"/>
    </dxf>
    <dxf>
      <numFmt numFmtId="3" formatCode="#,##0"/>
    </dxf>
    <dxf>
      <numFmt numFmtId="3" formatCode="#,##0"/>
    </dxf>
    <dxf>
      <numFmt numFmtId="164" formatCode="[$$-409]#,##0.00_);\([$$-409]#,##0.00\)"/>
    </dxf>
    <dxf>
      <numFmt numFmtId="164" formatCode="[$$-409]#,##0.00_);\([$$-409]#,##0.00\)"/>
    </dxf>
    <dxf>
      <font>
        <b/>
        <i val="0"/>
        <color theme="0"/>
      </font>
      <fill>
        <patternFill>
          <bgColor rgb="FF2E2E2E"/>
        </patternFill>
      </fill>
    </dxf>
    <dxf>
      <font>
        <b/>
        <i val="0"/>
      </font>
      <fill>
        <patternFill>
          <bgColor rgb="FFFAF8F6"/>
        </patternFill>
      </fill>
    </dxf>
  </dxfs>
  <tableStyles count="1" defaultTableStyle="TableStyleMedium2" defaultPivotStyle="PivotStyleLight16">
    <tableStyle name="Slicer Style 1" pivot="0" table="0" count="6" xr9:uid="{B97FBD92-3EDD-4675-B225-D5DA93C0A039}">
      <tableStyleElement type="wholeTable" dxfId="9"/>
      <tableStyleElement type="headerRow" dxfId="8"/>
    </tableStyle>
  </tableStyles>
  <colors>
    <mruColors>
      <color rgb="FF4A90E2"/>
      <color rgb="FFF5F7F4"/>
      <color rgb="FF6AB187"/>
      <color rgb="FF2E2E2E"/>
      <color rgb="FFD6D0CB"/>
      <color rgb="FFFAF8F6"/>
      <color rgb="FFF4F8F6"/>
      <color rgb="FFE7E0DA"/>
      <color rgb="FF64B187"/>
      <color rgb="FFD9534F"/>
    </mruColors>
  </colors>
  <extLst>
    <ext xmlns:x14="http://schemas.microsoft.com/office/spreadsheetml/2009/9/main" uri="{46F421CA-312F-682f-3DD2-61675219B42D}">
      <x14:dxfs count="4">
        <dxf>
          <fill>
            <patternFill>
              <bgColor rgb="FFFFFFFF"/>
            </patternFill>
          </fill>
        </dxf>
        <dxf>
          <font>
            <b/>
            <i val="0"/>
            <color theme="0"/>
          </font>
          <fill>
            <patternFill>
              <bgColor rgb="FF6AB187"/>
            </patternFill>
          </fill>
        </dxf>
        <dxf>
          <fill>
            <patternFill>
              <bgColor rgb="FF2E2E2E"/>
            </patternFill>
          </fill>
        </dxf>
        <dxf>
          <font>
            <color rgb="FF2E2E2E"/>
          </font>
          <fill>
            <patternFill>
              <bgColor rgb="FFE7E0DA"/>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[Healthcare_Performance_Dashboard.xlsx]Pivot Tables!Rank amt owed</c:name>
    <c:fmtId val="2"/>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sz="1600" b="1">
                <a:solidFill>
                  <a:srgbClr val="2E2E2E"/>
                </a:solidFill>
              </a:rPr>
              <a:t>Total</a:t>
            </a:r>
            <a:r>
              <a:rPr lang="en-US" sz="1600" b="1" baseline="0">
                <a:solidFill>
                  <a:srgbClr val="2E2E2E"/>
                </a:solidFill>
              </a:rPr>
              <a:t> amount owed per insurer</a:t>
            </a:r>
            <a:endParaRPr lang="en-US" sz="1600" b="1">
              <a:solidFill>
                <a:srgbClr val="2E2E2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90E2"/>
          </a:solidFill>
          <a:ln>
            <a:noFill/>
          </a:ln>
          <a:effectLst/>
        </c:spPr>
        <c:marker>
          <c:symbol val="none"/>
        </c:marke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200" b="1" i="0" u="none" strike="noStrike" kern="1200" baseline="0">
                  <a:no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A90E2"/>
          </a:solidFill>
          <a:ln>
            <a:no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noFill/>
                    <a:latin typeface="+mn-lt"/>
                    <a:ea typeface="+mn-ea"/>
                    <a:cs typeface="+mn-cs"/>
                  </a:defRPr>
                </a:pPr>
                <a:fld id="{3404DCF9-B842-409F-B59D-4804A09D73AC}" type="VALUE">
                  <a:rPr lang="en-US">
                    <a:solidFill>
                      <a:srgbClr val="2E2E2E"/>
                    </a:solidFill>
                  </a:rPr>
                  <a:pPr>
                    <a:defRPr sz="1200" b="1">
                      <a:noFill/>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1200" b="1" i="0" u="none" strike="noStrike" kern="1200" baseline="0">
                  <a:no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4A90E2"/>
          </a:solidFill>
          <a:ln>
            <a:no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fld id="{E2E0D727-0528-457B-98D6-E01A3175D45E}" type="VALUE">
                  <a:rPr lang="en-US">
                    <a:solidFill>
                      <a:srgbClr val="2E2E2E"/>
                    </a:solidFill>
                  </a:rPr>
                  <a:pPr>
                    <a:defRPr sz="1200" b="1">
                      <a:solidFill>
                        <a:srgbClr val="2E2E2E"/>
                      </a:solidFill>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4A90E2"/>
          </a:solidFill>
          <a:ln>
            <a:no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noFill/>
                    <a:latin typeface="+mn-lt"/>
                    <a:ea typeface="+mn-ea"/>
                    <a:cs typeface="+mn-cs"/>
                  </a:defRPr>
                </a:pPr>
                <a:fld id="{B1D459D1-3DB1-4F0F-8862-37D47D141B5C}" type="VALUE">
                  <a:rPr lang="en-US">
                    <a:solidFill>
                      <a:srgbClr val="2E2E2E"/>
                    </a:solidFill>
                  </a:rPr>
                  <a:pPr>
                    <a:defRPr sz="1200" b="1">
                      <a:noFill/>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1200" b="1" i="0" u="none" strike="noStrike" kern="1200" baseline="0">
                  <a:no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4A90E2"/>
          </a:solidFill>
          <a:ln>
            <a:no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fld id="{D82E4C47-EACD-42D6-AA03-AD977F64B7A9}" type="VALUE">
                  <a:rPr lang="en-US">
                    <a:solidFill>
                      <a:srgbClr val="2E2E2E"/>
                    </a:solidFill>
                  </a:rPr>
                  <a:pPr>
                    <a:defRPr sz="1200" b="1">
                      <a:solidFill>
                        <a:srgbClr val="2E2E2E"/>
                      </a:solidFill>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 Tables'!$C$3</c:f>
              <c:strCache>
                <c:ptCount val="1"/>
                <c:pt idx="0">
                  <c:v>Total</c:v>
                </c:pt>
              </c:strCache>
            </c:strRef>
          </c:tx>
          <c:spPr>
            <a:solidFill>
              <a:srgbClr val="4A90E2"/>
            </a:solidFill>
            <a:ln>
              <a:noFill/>
            </a:ln>
            <a:effectLst/>
          </c:spPr>
          <c:invertIfNegative val="0"/>
          <c:dPt>
            <c:idx val="0"/>
            <c:invertIfNegative val="0"/>
            <c:bubble3D val="0"/>
            <c:spPr>
              <a:solidFill>
                <a:srgbClr val="4A90E2"/>
              </a:solidFill>
              <a:ln>
                <a:noFill/>
              </a:ln>
              <a:effectLst/>
            </c:spPr>
            <c:extLst>
              <c:ext xmlns:c16="http://schemas.microsoft.com/office/drawing/2014/chart" uri="{C3380CC4-5D6E-409C-BE32-E72D297353CC}">
                <c16:uniqueId val="{00000000-3A24-4AE7-8F8E-BEDDA165BBE1}"/>
              </c:ext>
            </c:extLst>
          </c:dPt>
          <c:dPt>
            <c:idx val="1"/>
            <c:invertIfNegative val="0"/>
            <c:bubble3D val="0"/>
            <c:spPr>
              <a:solidFill>
                <a:srgbClr val="4A90E2"/>
              </a:solidFill>
              <a:ln>
                <a:noFill/>
              </a:ln>
              <a:effectLst/>
            </c:spPr>
            <c:extLst>
              <c:ext xmlns:c16="http://schemas.microsoft.com/office/drawing/2014/chart" uri="{C3380CC4-5D6E-409C-BE32-E72D297353CC}">
                <c16:uniqueId val="{00000001-3A24-4AE7-8F8E-BEDDA165BBE1}"/>
              </c:ext>
            </c:extLst>
          </c:dPt>
          <c:dPt>
            <c:idx val="2"/>
            <c:invertIfNegative val="0"/>
            <c:bubble3D val="0"/>
            <c:spPr>
              <a:solidFill>
                <a:srgbClr val="4A90E2"/>
              </a:solidFill>
              <a:ln>
                <a:noFill/>
              </a:ln>
              <a:effectLst/>
            </c:spPr>
            <c:extLst>
              <c:ext xmlns:c16="http://schemas.microsoft.com/office/drawing/2014/chart" uri="{C3380CC4-5D6E-409C-BE32-E72D297353CC}">
                <c16:uniqueId val="{00000002-3A24-4AE7-8F8E-BEDDA165BBE1}"/>
              </c:ext>
            </c:extLst>
          </c:dPt>
          <c:dPt>
            <c:idx val="3"/>
            <c:invertIfNegative val="0"/>
            <c:bubble3D val="0"/>
            <c:spPr>
              <a:solidFill>
                <a:srgbClr val="4A90E2"/>
              </a:solidFill>
              <a:ln>
                <a:noFill/>
              </a:ln>
              <a:effectLst/>
            </c:spPr>
            <c:extLst>
              <c:ext xmlns:c16="http://schemas.microsoft.com/office/drawing/2014/chart" uri="{C3380CC4-5D6E-409C-BE32-E72D297353CC}">
                <c16:uniqueId val="{00000003-3A24-4AE7-8F8E-BEDDA165BBE1}"/>
              </c:ext>
            </c:extLst>
          </c:dPt>
          <c:dLbls>
            <c:dLbl>
              <c:idx val="0"/>
              <c:tx>
                <c:rich>
                  <a:bodyPr/>
                  <a:lstStyle/>
                  <a:p>
                    <a:fld id="{3404DCF9-B842-409F-B59D-4804A09D73AC}" type="VALUE">
                      <a:rPr lang="en-US">
                        <a:solidFill>
                          <a:srgbClr val="2E2E2E"/>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3A24-4AE7-8F8E-BEDDA165BBE1}"/>
                </c:ext>
              </c:extLst>
            </c:dLbl>
            <c:dLbl>
              <c:idx val="1"/>
              <c:tx>
                <c:rich>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fld id="{E2E0D727-0528-457B-98D6-E01A3175D45E}" type="VALUE">
                      <a:rPr lang="en-US">
                        <a:solidFill>
                          <a:srgbClr val="2E2E2E"/>
                        </a:solidFill>
                      </a:rPr>
                      <a:pPr>
                        <a:defRPr sz="1200" b="1">
                          <a:solidFill>
                            <a:srgbClr val="2E2E2E"/>
                          </a:solidFill>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A24-4AE7-8F8E-BEDDA165BBE1}"/>
                </c:ext>
              </c:extLst>
            </c:dLbl>
            <c:dLbl>
              <c:idx val="2"/>
              <c:tx>
                <c:rich>
                  <a:bodyPr/>
                  <a:lstStyle/>
                  <a:p>
                    <a:fld id="{B1D459D1-3DB1-4F0F-8862-37D47D141B5C}" type="VALUE">
                      <a:rPr lang="en-US">
                        <a:solidFill>
                          <a:srgbClr val="2E2E2E"/>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A24-4AE7-8F8E-BEDDA165BBE1}"/>
                </c:ext>
              </c:extLst>
            </c:dLbl>
            <c:dLbl>
              <c:idx val="3"/>
              <c:tx>
                <c:rich>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fld id="{D82E4C47-EACD-42D6-AA03-AD977F64B7A9}" type="VALUE">
                      <a:rPr lang="en-US">
                        <a:solidFill>
                          <a:srgbClr val="2E2E2E"/>
                        </a:solidFill>
                      </a:rPr>
                      <a:pPr>
                        <a:defRPr sz="1200" b="1">
                          <a:solidFill>
                            <a:srgbClr val="2E2E2E"/>
                          </a:solidFill>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A24-4AE7-8F8E-BEDDA165BBE1}"/>
                </c:ext>
              </c:extLst>
            </c:dLbl>
            <c:spPr>
              <a:noFill/>
              <a:ln>
                <a:solidFill>
                  <a:schemeClr val="bg1"/>
                </a:solidFill>
              </a:ln>
              <a:effectLst/>
            </c:spPr>
            <c:txPr>
              <a:bodyPr rot="0" spcFirstLastPara="1" vertOverflow="ellipsis" vert="horz" wrap="square" lIns="38100" tIns="19050" rIns="38100" bIns="19050" anchor="ctr" anchorCtr="1">
                <a:spAutoFit/>
              </a:bodyPr>
              <a:lstStyle/>
              <a:p>
                <a:pPr>
                  <a:defRPr sz="1200" b="1" i="0" u="none" strike="noStrike" kern="1200" baseline="0">
                    <a:no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Tables'!$B$4:$B$8</c:f>
              <c:strCache>
                <c:ptCount val="4"/>
                <c:pt idx="0">
                  <c:v>Commercial</c:v>
                </c:pt>
                <c:pt idx="1">
                  <c:v>Medicare</c:v>
                </c:pt>
                <c:pt idx="2">
                  <c:v>Medicaid</c:v>
                </c:pt>
                <c:pt idx="3">
                  <c:v>Other</c:v>
                </c:pt>
              </c:strCache>
            </c:strRef>
          </c:cat>
          <c:val>
            <c:numRef>
              <c:f>'Pivot Tables'!$C$4:$C$8</c:f>
              <c:numCache>
                <c:formatCode>[$$-409]#,##0.00_);\([$$-409]#,##0.00\)</c:formatCode>
                <c:ptCount val="4"/>
                <c:pt idx="0">
                  <c:v>30261.040000000001</c:v>
                </c:pt>
                <c:pt idx="1">
                  <c:v>13510.47</c:v>
                </c:pt>
                <c:pt idx="2">
                  <c:v>5600</c:v>
                </c:pt>
                <c:pt idx="3">
                  <c:v>2599.21</c:v>
                </c:pt>
              </c:numCache>
            </c:numRef>
          </c:val>
          <c:extLst>
            <c:ext xmlns:c16="http://schemas.microsoft.com/office/drawing/2014/chart" uri="{C3380CC4-5D6E-409C-BE32-E72D297353CC}">
              <c16:uniqueId val="{00000000-0616-4E8C-A7FE-F1BA1A7722BD}"/>
            </c:ext>
          </c:extLst>
        </c:ser>
        <c:dLbls>
          <c:dLblPos val="outEnd"/>
          <c:showLegendKey val="0"/>
          <c:showVal val="1"/>
          <c:showCatName val="0"/>
          <c:showSerName val="0"/>
          <c:showPercent val="0"/>
          <c:showBubbleSize val="0"/>
        </c:dLbls>
        <c:gapWidth val="219"/>
        <c:overlap val="-27"/>
        <c:axId val="1291567280"/>
        <c:axId val="1291883216"/>
      </c:barChart>
      <c:catAx>
        <c:axId val="1291567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rgbClr val="2E2E2E"/>
                </a:solidFill>
                <a:latin typeface="+mn-lt"/>
                <a:ea typeface="+mn-ea"/>
                <a:cs typeface="+mn-cs"/>
              </a:defRPr>
            </a:pPr>
            <a:endParaRPr lang="en-US"/>
          </a:p>
        </c:txPr>
        <c:crossAx val="1291883216"/>
        <c:crosses val="autoZero"/>
        <c:auto val="1"/>
        <c:lblAlgn val="ctr"/>
        <c:lblOffset val="100"/>
        <c:noMultiLvlLbl val="0"/>
      </c:catAx>
      <c:valAx>
        <c:axId val="1291883216"/>
        <c:scaling>
          <c:orientation val="minMax"/>
        </c:scaling>
        <c:delete val="1"/>
        <c:axPos val="l"/>
        <c:numFmt formatCode="[$$-409]#,##0.00_);\([$$-409]#,##0.00\)" sourceLinked="1"/>
        <c:majorTickMark val="out"/>
        <c:minorTickMark val="none"/>
        <c:tickLblPos val="nextTo"/>
        <c:crossAx val="129156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[Healthcare_Performance_Dashboard.xlsx]Pivot Tables!Rank Location</c:name>
    <c:fmtId val="2"/>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sz="1600" b="1" baseline="0">
                <a:solidFill>
                  <a:srgbClr val="2E2E2E"/>
                </a:solidFill>
              </a:rPr>
              <a:t>Location handling the most 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90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Tables'!$G$11</c:f>
              <c:strCache>
                <c:ptCount val="1"/>
                <c:pt idx="0">
                  <c:v>Total</c:v>
                </c:pt>
              </c:strCache>
            </c:strRef>
          </c:tx>
          <c:spPr>
            <a:solidFill>
              <a:srgbClr val="4A90E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Tables'!$F$12:$F$17</c:f>
              <c:strCache>
                <c:ptCount val="5"/>
                <c:pt idx="0">
                  <c:v>Fairview General Hospital</c:v>
                </c:pt>
                <c:pt idx="1">
                  <c:v>Guardian Medical Clinic</c:v>
                </c:pt>
                <c:pt idx="2">
                  <c:v>Principal Medical Clinic</c:v>
                </c:pt>
                <c:pt idx="3">
                  <c:v>Big Heart Community Hospital</c:v>
                </c:pt>
                <c:pt idx="4">
                  <c:v>Angelstone Community Hospital</c:v>
                </c:pt>
              </c:strCache>
            </c:strRef>
          </c:cat>
          <c:val>
            <c:numRef>
              <c:f>'Pivot Tables'!$G$12:$G$17</c:f>
              <c:numCache>
                <c:formatCode>#,##0</c:formatCode>
                <c:ptCount val="5"/>
                <c:pt idx="0">
                  <c:v>395</c:v>
                </c:pt>
                <c:pt idx="1">
                  <c:v>400</c:v>
                </c:pt>
                <c:pt idx="2">
                  <c:v>472</c:v>
                </c:pt>
                <c:pt idx="3">
                  <c:v>1037</c:v>
                </c:pt>
                <c:pt idx="4">
                  <c:v>2176</c:v>
                </c:pt>
              </c:numCache>
            </c:numRef>
          </c:val>
          <c:extLst>
            <c:ext xmlns:c16="http://schemas.microsoft.com/office/drawing/2014/chart" uri="{C3380CC4-5D6E-409C-BE32-E72D297353CC}">
              <c16:uniqueId val="{00000000-4EEA-4D7D-BD59-43012E87A950}"/>
            </c:ext>
          </c:extLst>
        </c:ser>
        <c:dLbls>
          <c:dLblPos val="outEnd"/>
          <c:showLegendKey val="0"/>
          <c:showVal val="1"/>
          <c:showCatName val="0"/>
          <c:showSerName val="0"/>
          <c:showPercent val="0"/>
          <c:showBubbleSize val="0"/>
        </c:dLbls>
        <c:gapWidth val="182"/>
        <c:axId val="470429872"/>
        <c:axId val="470436112"/>
      </c:barChart>
      <c:catAx>
        <c:axId val="47042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rgbClr val="2E2E2E"/>
                </a:solidFill>
                <a:latin typeface="+mn-lt"/>
                <a:ea typeface="+mn-ea"/>
                <a:cs typeface="+mn-cs"/>
              </a:defRPr>
            </a:pPr>
            <a:endParaRPr lang="en-US"/>
          </a:p>
        </c:txPr>
        <c:crossAx val="470436112"/>
        <c:crosses val="autoZero"/>
        <c:auto val="1"/>
        <c:lblAlgn val="ctr"/>
        <c:lblOffset val="100"/>
        <c:noMultiLvlLbl val="0"/>
      </c:catAx>
      <c:valAx>
        <c:axId val="470436112"/>
        <c:scaling>
          <c:orientation val="minMax"/>
        </c:scaling>
        <c:delete val="1"/>
        <c:axPos val="b"/>
        <c:numFmt formatCode="#,##0" sourceLinked="1"/>
        <c:majorTickMark val="none"/>
        <c:minorTickMark val="none"/>
        <c:tickLblPos val="nextTo"/>
        <c:crossAx val="47042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[Healthcare_Performance_Dashboard.xlsx]Pivot Tables!Rank Procedure</c:name>
    <c:fmtId val="2"/>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sz="1600" b="1">
                <a:solidFill>
                  <a:srgbClr val="2E2E2E"/>
                </a:solidFill>
              </a:rPr>
              <a:t>Top</a:t>
            </a:r>
            <a:r>
              <a:rPr lang="en-US" sz="1600" b="1" baseline="0">
                <a:solidFill>
                  <a:srgbClr val="2E2E2E"/>
                </a:solidFill>
              </a:rPr>
              <a:t> Performed Procedures</a:t>
            </a:r>
            <a:endParaRPr lang="en-US" sz="1600" b="1">
              <a:solidFill>
                <a:srgbClr val="2E2E2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90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Tables'!$C$11</c:f>
              <c:strCache>
                <c:ptCount val="1"/>
                <c:pt idx="0">
                  <c:v>Total</c:v>
                </c:pt>
              </c:strCache>
            </c:strRef>
          </c:tx>
          <c:spPr>
            <a:solidFill>
              <a:srgbClr val="4A90E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Tables'!$B$12:$B$17</c:f>
              <c:strCache>
                <c:ptCount val="5"/>
                <c:pt idx="0">
                  <c:v>Obstetrics &amp; Gynecology</c:v>
                </c:pt>
                <c:pt idx="1">
                  <c:v>Physical Medicine &amp; Rehabilitation</c:v>
                </c:pt>
                <c:pt idx="2">
                  <c:v>Radiology</c:v>
                </c:pt>
                <c:pt idx="3">
                  <c:v>Family Medicine</c:v>
                </c:pt>
                <c:pt idx="4">
                  <c:v>Internal Medicine</c:v>
                </c:pt>
              </c:strCache>
            </c:strRef>
          </c:cat>
          <c:val>
            <c:numRef>
              <c:f>'Pivot Tables'!$C$12:$C$17</c:f>
              <c:numCache>
                <c:formatCode>#,##0</c:formatCode>
                <c:ptCount val="5"/>
                <c:pt idx="0">
                  <c:v>1015</c:v>
                </c:pt>
                <c:pt idx="1">
                  <c:v>1697</c:v>
                </c:pt>
                <c:pt idx="2">
                  <c:v>2078</c:v>
                </c:pt>
                <c:pt idx="3">
                  <c:v>2630</c:v>
                </c:pt>
                <c:pt idx="4">
                  <c:v>5049</c:v>
                </c:pt>
              </c:numCache>
            </c:numRef>
          </c:val>
          <c:extLst>
            <c:ext xmlns:c16="http://schemas.microsoft.com/office/drawing/2014/chart" uri="{C3380CC4-5D6E-409C-BE32-E72D297353CC}">
              <c16:uniqueId val="{00000000-D67E-4A0A-B8C3-71C4E5FC59A8}"/>
            </c:ext>
          </c:extLst>
        </c:ser>
        <c:dLbls>
          <c:dLblPos val="outEnd"/>
          <c:showLegendKey val="0"/>
          <c:showVal val="1"/>
          <c:showCatName val="0"/>
          <c:showSerName val="0"/>
          <c:showPercent val="0"/>
          <c:showBubbleSize val="0"/>
        </c:dLbls>
        <c:gapWidth val="182"/>
        <c:axId val="470406832"/>
        <c:axId val="470407792"/>
      </c:barChart>
      <c:catAx>
        <c:axId val="470406832"/>
        <c:scaling>
          <c:orientation val="minMax"/>
        </c:scaling>
        <c:delete val="0"/>
        <c:axPos val="l"/>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rgbClr val="2E2E2E"/>
                </a:solidFill>
                <a:latin typeface="+mn-lt"/>
                <a:ea typeface="+mn-ea"/>
                <a:cs typeface="+mn-cs"/>
              </a:defRPr>
            </a:pPr>
            <a:endParaRPr lang="en-US"/>
          </a:p>
        </c:txPr>
        <c:crossAx val="470407792"/>
        <c:crosses val="autoZero"/>
        <c:auto val="1"/>
        <c:lblAlgn val="ctr"/>
        <c:lblOffset val="100"/>
        <c:noMultiLvlLbl val="0"/>
      </c:catAx>
      <c:valAx>
        <c:axId val="470407792"/>
        <c:scaling>
          <c:orientation val="minMax"/>
        </c:scaling>
        <c:delete val="1"/>
        <c:axPos val="b"/>
        <c:numFmt formatCode="#,##0" sourceLinked="1"/>
        <c:majorTickMark val="out"/>
        <c:minorTickMark val="none"/>
        <c:tickLblPos val="nextTo"/>
        <c:crossAx val="47040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[Healthcare_Performance_Dashboard.xlsx]Pivot Tables!Rank Physician</c:name>
    <c:fmtId val="2"/>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sz="1600" b="1">
                <a:solidFill>
                  <a:srgbClr val="2E2E2E"/>
                </a:solidFill>
              </a:rPr>
              <a:t>Top</a:t>
            </a:r>
            <a:r>
              <a:rPr lang="en-US" sz="1600" b="1" baseline="0">
                <a:solidFill>
                  <a:srgbClr val="2E2E2E"/>
                </a:solidFill>
              </a:rPr>
              <a:t> 5 performing physicians</a:t>
            </a:r>
            <a:endParaRPr lang="en-US" sz="1600" b="1">
              <a:solidFill>
                <a:srgbClr val="2E2E2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90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c:f>
              <c:strCache>
                <c:ptCount val="1"/>
                <c:pt idx="0">
                  <c:v>Total</c:v>
                </c:pt>
              </c:strCache>
            </c:strRef>
          </c:tx>
          <c:spPr>
            <a:solidFill>
              <a:srgbClr val="4A90E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E2E2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Tables'!$F$4:$F$9</c:f>
              <c:strCache>
                <c:ptCount val="5"/>
                <c:pt idx="0">
                  <c:v>Dr. Hendricks</c:v>
                </c:pt>
                <c:pt idx="1">
                  <c:v>Dr. Hurley</c:v>
                </c:pt>
                <c:pt idx="2">
                  <c:v>Dr. Giles</c:v>
                </c:pt>
                <c:pt idx="3">
                  <c:v>Dr. Miles</c:v>
                </c:pt>
                <c:pt idx="4">
                  <c:v>Dr. Freeman</c:v>
                </c:pt>
              </c:strCache>
            </c:strRef>
          </c:cat>
          <c:val>
            <c:numRef>
              <c:f>'Pivot Tables'!$G$4:$G$9</c:f>
              <c:numCache>
                <c:formatCode>#,##0</c:formatCode>
                <c:ptCount val="5"/>
                <c:pt idx="0">
                  <c:v>1616</c:v>
                </c:pt>
                <c:pt idx="1">
                  <c:v>514</c:v>
                </c:pt>
                <c:pt idx="2">
                  <c:v>304</c:v>
                </c:pt>
                <c:pt idx="3">
                  <c:v>238</c:v>
                </c:pt>
                <c:pt idx="4">
                  <c:v>175</c:v>
                </c:pt>
              </c:numCache>
            </c:numRef>
          </c:val>
          <c:extLst>
            <c:ext xmlns:c16="http://schemas.microsoft.com/office/drawing/2014/chart" uri="{C3380CC4-5D6E-409C-BE32-E72D297353CC}">
              <c16:uniqueId val="{00000000-CC89-440B-91F4-78CB5CEF7EE5}"/>
            </c:ext>
          </c:extLst>
        </c:ser>
        <c:dLbls>
          <c:dLblPos val="outEnd"/>
          <c:showLegendKey val="0"/>
          <c:showVal val="1"/>
          <c:showCatName val="0"/>
          <c:showSerName val="0"/>
          <c:showPercent val="0"/>
          <c:showBubbleSize val="0"/>
        </c:dLbls>
        <c:gapWidth val="219"/>
        <c:overlap val="-27"/>
        <c:axId val="470400112"/>
        <c:axId val="470396272"/>
      </c:barChart>
      <c:catAx>
        <c:axId val="47040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rgbClr val="2E2E2E"/>
                </a:solidFill>
                <a:latin typeface="+mn-lt"/>
                <a:ea typeface="+mn-ea"/>
                <a:cs typeface="+mn-cs"/>
              </a:defRPr>
            </a:pPr>
            <a:endParaRPr lang="en-US"/>
          </a:p>
        </c:txPr>
        <c:crossAx val="470396272"/>
        <c:crosses val="autoZero"/>
        <c:auto val="1"/>
        <c:lblAlgn val="ctr"/>
        <c:lblOffset val="100"/>
        <c:noMultiLvlLbl val="0"/>
      </c:catAx>
      <c:valAx>
        <c:axId val="470396272"/>
        <c:scaling>
          <c:orientation val="minMax"/>
        </c:scaling>
        <c:delete val="1"/>
        <c:axPos val="l"/>
        <c:numFmt formatCode="#,##0" sourceLinked="1"/>
        <c:majorTickMark val="none"/>
        <c:minorTickMark val="none"/>
        <c:tickLblPos val="nextTo"/>
        <c:crossAx val="47040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685800</xdr:colOff>
      <xdr:row>20</xdr:row>
      <xdr:rowOff>114300</xdr:rowOff>
    </xdr:from>
    <xdr:ext cx="184731" cy="264560"/>
    <xdr:sp macro="" textlink="">
      <xdr:nvSpPr>
        <xdr:cNvPr id="9" name="TextBox 8">
          <a:extLst>
            <a:ext uri="{FF2B5EF4-FFF2-40B4-BE49-F238E27FC236}">
              <a16:creationId xmlns:a16="http://schemas.microsoft.com/office/drawing/2014/main" id="{94EB9E60-146C-6AC4-FFC3-6829381D112F}"/>
            </a:ext>
          </a:extLst>
        </xdr:cNvPr>
        <xdr:cNvSpPr txBox="1"/>
      </xdr:nvSpPr>
      <xdr:spPr>
        <a:xfrm>
          <a:off x="129540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571500</xdr:colOff>
      <xdr:row>2</xdr:row>
      <xdr:rowOff>1</xdr:rowOff>
    </xdr:from>
    <xdr:to>
      <xdr:col>27</xdr:col>
      <xdr:colOff>217713</xdr:colOff>
      <xdr:row>39</xdr:row>
      <xdr:rowOff>48007</xdr:rowOff>
    </xdr:to>
    <xdr:sp macro="" textlink="">
      <xdr:nvSpPr>
        <xdr:cNvPr id="2" name="Rectangle 1">
          <a:extLst>
            <a:ext uri="{FF2B5EF4-FFF2-40B4-BE49-F238E27FC236}">
              <a16:creationId xmlns:a16="http://schemas.microsoft.com/office/drawing/2014/main" id="{2581E115-EB17-DB68-71D5-29A6B47899EC}"/>
            </a:ext>
          </a:extLst>
        </xdr:cNvPr>
        <xdr:cNvSpPr/>
      </xdr:nvSpPr>
      <xdr:spPr>
        <a:xfrm>
          <a:off x="1183821" y="381001"/>
          <a:ext cx="15566571" cy="7096506"/>
        </a:xfrm>
        <a:prstGeom prst="rect">
          <a:avLst/>
        </a:prstGeom>
        <a:solidFill>
          <a:srgbClr val="F5F7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rgbClr val="F7F4F1"/>
            </a:solidFill>
          </a:endParaRPr>
        </a:p>
      </xdr:txBody>
    </xdr:sp>
    <xdr:clientData/>
  </xdr:twoCellAnchor>
  <xdr:twoCellAnchor>
    <xdr:from>
      <xdr:col>2</xdr:col>
      <xdr:colOff>204107</xdr:colOff>
      <xdr:row>25</xdr:row>
      <xdr:rowOff>81643</xdr:rowOff>
    </xdr:from>
    <xdr:to>
      <xdr:col>12</xdr:col>
      <xdr:colOff>149679</xdr:colOff>
      <xdr:row>38</xdr:row>
      <xdr:rowOff>2830</xdr:rowOff>
    </xdr:to>
    <xdr:sp macro="" textlink="">
      <xdr:nvSpPr>
        <xdr:cNvPr id="3" name="Rectangle: Rounded Corners 2">
          <a:extLst>
            <a:ext uri="{FF2B5EF4-FFF2-40B4-BE49-F238E27FC236}">
              <a16:creationId xmlns:a16="http://schemas.microsoft.com/office/drawing/2014/main" id="{751DDB1E-B9C4-D75E-8340-DBF2E3F658A6}"/>
            </a:ext>
          </a:extLst>
        </xdr:cNvPr>
        <xdr:cNvSpPr/>
      </xdr:nvSpPr>
      <xdr:spPr>
        <a:xfrm>
          <a:off x="1428750" y="4844143"/>
          <a:ext cx="6068786" cy="239768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367393</xdr:colOff>
      <xdr:row>25</xdr:row>
      <xdr:rowOff>81644</xdr:rowOff>
    </xdr:from>
    <xdr:to>
      <xdr:col>22</xdr:col>
      <xdr:colOff>381000</xdr:colOff>
      <xdr:row>38</xdr:row>
      <xdr:rowOff>2830</xdr:rowOff>
    </xdr:to>
    <xdr:sp macro="" textlink="">
      <xdr:nvSpPr>
        <xdr:cNvPr id="4" name="Rectangle: Rounded Corners 3">
          <a:extLst>
            <a:ext uri="{FF2B5EF4-FFF2-40B4-BE49-F238E27FC236}">
              <a16:creationId xmlns:a16="http://schemas.microsoft.com/office/drawing/2014/main" id="{C97CD049-F6EF-2C51-DDC6-2D46AB49B81A}"/>
            </a:ext>
          </a:extLst>
        </xdr:cNvPr>
        <xdr:cNvSpPr/>
      </xdr:nvSpPr>
      <xdr:spPr>
        <a:xfrm>
          <a:off x="7715250" y="4844144"/>
          <a:ext cx="6136821" cy="239768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258535</xdr:colOff>
      <xdr:row>13</xdr:row>
      <xdr:rowOff>68036</xdr:rowOff>
    </xdr:from>
    <xdr:to>
      <xdr:col>12</xdr:col>
      <xdr:colOff>137922</xdr:colOff>
      <xdr:row>24</xdr:row>
      <xdr:rowOff>149677</xdr:rowOff>
    </xdr:to>
    <xdr:sp macro="" textlink="">
      <xdr:nvSpPr>
        <xdr:cNvPr id="5" name="Rectangle: Rounded Corners 4">
          <a:extLst>
            <a:ext uri="{FF2B5EF4-FFF2-40B4-BE49-F238E27FC236}">
              <a16:creationId xmlns:a16="http://schemas.microsoft.com/office/drawing/2014/main" id="{B19EFBEE-D76E-3E4D-1499-33CC4573C580}"/>
            </a:ext>
          </a:extLst>
        </xdr:cNvPr>
        <xdr:cNvSpPr/>
      </xdr:nvSpPr>
      <xdr:spPr>
        <a:xfrm>
          <a:off x="1483178" y="2544536"/>
          <a:ext cx="6002601" cy="217714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353786</xdr:colOff>
      <xdr:row>13</xdr:row>
      <xdr:rowOff>95250</xdr:rowOff>
    </xdr:from>
    <xdr:to>
      <xdr:col>22</xdr:col>
      <xdr:colOff>299357</xdr:colOff>
      <xdr:row>24</xdr:row>
      <xdr:rowOff>136072</xdr:rowOff>
    </xdr:to>
    <xdr:sp macro="" textlink="">
      <xdr:nvSpPr>
        <xdr:cNvPr id="6" name="Rectangle: Rounded Corners 5">
          <a:extLst>
            <a:ext uri="{FF2B5EF4-FFF2-40B4-BE49-F238E27FC236}">
              <a16:creationId xmlns:a16="http://schemas.microsoft.com/office/drawing/2014/main" id="{E4676E27-8B0F-5BD9-EA4A-247ACB642BC3}"/>
            </a:ext>
          </a:extLst>
        </xdr:cNvPr>
        <xdr:cNvSpPr/>
      </xdr:nvSpPr>
      <xdr:spPr>
        <a:xfrm>
          <a:off x="7701643" y="2571750"/>
          <a:ext cx="6068785" cy="21363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163285</xdr:colOff>
      <xdr:row>2</xdr:row>
      <xdr:rowOff>16655</xdr:rowOff>
    </xdr:from>
    <xdr:to>
      <xdr:col>21</xdr:col>
      <xdr:colOff>449035</xdr:colOff>
      <xdr:row>5</xdr:row>
      <xdr:rowOff>40820</xdr:rowOff>
    </xdr:to>
    <xdr:sp macro="" textlink="">
      <xdr:nvSpPr>
        <xdr:cNvPr id="7" name="Rectangle 6">
          <a:extLst>
            <a:ext uri="{FF2B5EF4-FFF2-40B4-BE49-F238E27FC236}">
              <a16:creationId xmlns:a16="http://schemas.microsoft.com/office/drawing/2014/main" id="{BE4B504B-43FC-24E7-6423-EAA5A61D375F}"/>
            </a:ext>
          </a:extLst>
        </xdr:cNvPr>
        <xdr:cNvSpPr/>
      </xdr:nvSpPr>
      <xdr:spPr>
        <a:xfrm>
          <a:off x="3837214" y="397655"/>
          <a:ext cx="9470571" cy="595665"/>
        </a:xfrm>
        <a:prstGeom prst="rect">
          <a:avLst/>
        </a:prstGeom>
        <a:solidFill>
          <a:srgbClr val="F5F7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3600" b="1" cap="none" spc="0">
              <a:ln w="0"/>
              <a:solidFill>
                <a:schemeClr val="tx1"/>
              </a:solidFill>
              <a:effectLst>
                <a:outerShdw blurRad="38100" dist="19050" dir="2700000" algn="tl" rotWithShape="0">
                  <a:schemeClr val="dk1">
                    <a:alpha val="40000"/>
                  </a:schemeClr>
                </a:outerShdw>
              </a:effectLst>
            </a:rPr>
            <a:t>HEALTHCARE</a:t>
          </a:r>
          <a:r>
            <a:rPr lang="en-US" sz="3600" b="1" cap="none" spc="0" baseline="0">
              <a:ln w="0"/>
              <a:solidFill>
                <a:schemeClr val="tx1"/>
              </a:solidFill>
              <a:effectLst>
                <a:outerShdw blurRad="38100" dist="19050" dir="2700000" algn="tl" rotWithShape="0">
                  <a:schemeClr val="dk1">
                    <a:alpha val="40000"/>
                  </a:schemeClr>
                </a:outerShdw>
              </a:effectLst>
            </a:rPr>
            <a:t> PERFORMANCE ANALYTICS</a:t>
          </a:r>
          <a:endParaRPr lang="en-US" sz="3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544285</xdr:colOff>
      <xdr:row>7</xdr:row>
      <xdr:rowOff>95251</xdr:rowOff>
    </xdr:from>
    <xdr:to>
      <xdr:col>7</xdr:col>
      <xdr:colOff>367391</xdr:colOff>
      <xdr:row>12</xdr:row>
      <xdr:rowOff>164811</xdr:rowOff>
    </xdr:to>
    <xdr:sp macro="" textlink="">
      <xdr:nvSpPr>
        <xdr:cNvPr id="8" name="Rectangle: Rounded Corners 7">
          <a:extLst>
            <a:ext uri="{FF2B5EF4-FFF2-40B4-BE49-F238E27FC236}">
              <a16:creationId xmlns:a16="http://schemas.microsoft.com/office/drawing/2014/main" id="{B90D72CF-1270-8C53-2B5A-BEBF425F34ED}"/>
            </a:ext>
          </a:extLst>
        </xdr:cNvPr>
        <xdr:cNvSpPr/>
      </xdr:nvSpPr>
      <xdr:spPr>
        <a:xfrm>
          <a:off x="1768928" y="1428751"/>
          <a:ext cx="2884713" cy="10220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algn="ctr"/>
          <a:r>
            <a:rPr lang="en-US"/>
            <a:t>1.47m</a:t>
          </a:r>
        </a:p>
      </xdr:txBody>
    </xdr:sp>
    <xdr:clientData/>
  </xdr:twoCellAnchor>
  <xdr:twoCellAnchor>
    <xdr:from>
      <xdr:col>7</xdr:col>
      <xdr:colOff>394607</xdr:colOff>
      <xdr:row>7</xdr:row>
      <xdr:rowOff>95249</xdr:rowOff>
    </xdr:from>
    <xdr:to>
      <xdr:col>12</xdr:col>
      <xdr:colOff>81644</xdr:colOff>
      <xdr:row>12</xdr:row>
      <xdr:rowOff>164809</xdr:rowOff>
    </xdr:to>
    <xdr:sp macro="" textlink="">
      <xdr:nvSpPr>
        <xdr:cNvPr id="9" name="Rectangle: Rounded Corners 8">
          <a:extLst>
            <a:ext uri="{FF2B5EF4-FFF2-40B4-BE49-F238E27FC236}">
              <a16:creationId xmlns:a16="http://schemas.microsoft.com/office/drawing/2014/main" id="{F6BCBE49-21AC-0E1B-6064-255F1145C457}"/>
            </a:ext>
          </a:extLst>
        </xdr:cNvPr>
        <xdr:cNvSpPr/>
      </xdr:nvSpPr>
      <xdr:spPr>
        <a:xfrm>
          <a:off x="4680857" y="1428749"/>
          <a:ext cx="2748644" cy="10220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508471</xdr:colOff>
      <xdr:row>7</xdr:row>
      <xdr:rowOff>122464</xdr:rowOff>
    </xdr:from>
    <xdr:to>
      <xdr:col>17</xdr:col>
      <xdr:colOff>258535</xdr:colOff>
      <xdr:row>12</xdr:row>
      <xdr:rowOff>178417</xdr:rowOff>
    </xdr:to>
    <xdr:sp macro="" textlink="">
      <xdr:nvSpPr>
        <xdr:cNvPr id="10" name="Rectangle: Rounded Corners 9">
          <a:extLst>
            <a:ext uri="{FF2B5EF4-FFF2-40B4-BE49-F238E27FC236}">
              <a16:creationId xmlns:a16="http://schemas.microsoft.com/office/drawing/2014/main" id="{7B1FE417-D89B-0941-23D7-2208C0DE8D98}"/>
            </a:ext>
          </a:extLst>
        </xdr:cNvPr>
        <xdr:cNvSpPr/>
      </xdr:nvSpPr>
      <xdr:spPr>
        <a:xfrm>
          <a:off x="7856328" y="1455964"/>
          <a:ext cx="2811671" cy="100845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383721</xdr:colOff>
      <xdr:row>7</xdr:row>
      <xdr:rowOff>95250</xdr:rowOff>
    </xdr:from>
    <xdr:to>
      <xdr:col>22</xdr:col>
      <xdr:colOff>68035</xdr:colOff>
      <xdr:row>13</xdr:row>
      <xdr:rowOff>1524</xdr:rowOff>
    </xdr:to>
    <xdr:sp macro="" textlink="">
      <xdr:nvSpPr>
        <xdr:cNvPr id="11" name="Rectangle: Rounded Corners 10">
          <a:extLst>
            <a:ext uri="{FF2B5EF4-FFF2-40B4-BE49-F238E27FC236}">
              <a16:creationId xmlns:a16="http://schemas.microsoft.com/office/drawing/2014/main" id="{40C90C32-E539-AED6-674F-CBC6E0575D7F}"/>
            </a:ext>
          </a:extLst>
        </xdr:cNvPr>
        <xdr:cNvSpPr/>
      </xdr:nvSpPr>
      <xdr:spPr>
        <a:xfrm>
          <a:off x="10793185" y="1428750"/>
          <a:ext cx="2745921" cy="104927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81969</xdr:colOff>
      <xdr:row>2</xdr:row>
      <xdr:rowOff>119308</xdr:rowOff>
    </xdr:from>
    <xdr:to>
      <xdr:col>4</xdr:col>
      <xdr:colOff>95249</xdr:colOff>
      <xdr:row>4</xdr:row>
      <xdr:rowOff>152836</xdr:rowOff>
    </xdr:to>
    <xdr:sp macro="" textlink="">
      <xdr:nvSpPr>
        <xdr:cNvPr id="12" name="Rectangle: Diagonal Corners Rounded 11">
          <a:extLst>
            <a:ext uri="{FF2B5EF4-FFF2-40B4-BE49-F238E27FC236}">
              <a16:creationId xmlns:a16="http://schemas.microsoft.com/office/drawing/2014/main" id="{D2A64D10-860E-1A3D-EB9A-3558C4D3DE3E}"/>
            </a:ext>
          </a:extLst>
        </xdr:cNvPr>
        <xdr:cNvSpPr/>
      </xdr:nvSpPr>
      <xdr:spPr>
        <a:xfrm>
          <a:off x="1306612" y="500308"/>
          <a:ext cx="1237923" cy="414528"/>
        </a:xfrm>
        <a:prstGeom prst="round2DiagRect">
          <a:avLst/>
        </a:prstGeom>
        <a:solidFill>
          <a:srgbClr val="F5F7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rgbClr val="2E2E2E"/>
              </a:solidFill>
            </a:rPr>
            <a:t>C.CHIME</a:t>
          </a:r>
        </a:p>
      </xdr:txBody>
    </xdr:sp>
    <xdr:clientData/>
  </xdr:twoCellAnchor>
  <xdr:twoCellAnchor>
    <xdr:from>
      <xdr:col>2</xdr:col>
      <xdr:colOff>258535</xdr:colOff>
      <xdr:row>13</xdr:row>
      <xdr:rowOff>27214</xdr:rowOff>
    </xdr:from>
    <xdr:to>
      <xdr:col>12</xdr:col>
      <xdr:colOff>149679</xdr:colOff>
      <xdr:row>24</xdr:row>
      <xdr:rowOff>176893</xdr:rowOff>
    </xdr:to>
    <xdr:graphicFrame macro="">
      <xdr:nvGraphicFramePr>
        <xdr:cNvPr id="13" name="Chart 12">
          <a:extLst>
            <a:ext uri="{FF2B5EF4-FFF2-40B4-BE49-F238E27FC236}">
              <a16:creationId xmlns:a16="http://schemas.microsoft.com/office/drawing/2014/main" id="{501BC35C-6941-43BE-A73E-01F503004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204106</xdr:colOff>
      <xdr:row>25</xdr:row>
      <xdr:rowOff>81643</xdr:rowOff>
    </xdr:from>
    <xdr:to>
      <xdr:col>12</xdr:col>
      <xdr:colOff>163285</xdr:colOff>
      <xdr:row>38</xdr:row>
      <xdr:rowOff>13607</xdr:rowOff>
    </xdr:to>
    <xdr:graphicFrame macro="">
      <xdr:nvGraphicFramePr>
        <xdr:cNvPr id="14" name="Chart 13">
          <a:extLst>
            <a:ext uri="{FF2B5EF4-FFF2-40B4-BE49-F238E27FC236}">
              <a16:creationId xmlns:a16="http://schemas.microsoft.com/office/drawing/2014/main" id="{042FED9E-BE78-46C8-9D07-DC7B03B7F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299357</xdr:colOff>
      <xdr:row>13</xdr:row>
      <xdr:rowOff>68036</xdr:rowOff>
    </xdr:from>
    <xdr:to>
      <xdr:col>22</xdr:col>
      <xdr:colOff>285750</xdr:colOff>
      <xdr:row>25</xdr:row>
      <xdr:rowOff>0</xdr:rowOff>
    </xdr:to>
    <xdr:graphicFrame macro="">
      <xdr:nvGraphicFramePr>
        <xdr:cNvPr id="15" name="Chart 14">
          <a:extLst>
            <a:ext uri="{FF2B5EF4-FFF2-40B4-BE49-F238E27FC236}">
              <a16:creationId xmlns:a16="http://schemas.microsoft.com/office/drawing/2014/main" id="{212EB02C-3F91-4830-865E-42C55BF91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367393</xdr:colOff>
      <xdr:row>25</xdr:row>
      <xdr:rowOff>81644</xdr:rowOff>
    </xdr:from>
    <xdr:to>
      <xdr:col>22</xdr:col>
      <xdr:colOff>367393</xdr:colOff>
      <xdr:row>38</xdr:row>
      <xdr:rowOff>40821</xdr:rowOff>
    </xdr:to>
    <xdr:graphicFrame macro="">
      <xdr:nvGraphicFramePr>
        <xdr:cNvPr id="16" name="Chart 15">
          <a:extLst>
            <a:ext uri="{FF2B5EF4-FFF2-40B4-BE49-F238E27FC236}">
              <a16:creationId xmlns:a16="http://schemas.microsoft.com/office/drawing/2014/main" id="{E98BB7A6-024B-483F-B80C-E407B348B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530680</xdr:colOff>
      <xdr:row>11</xdr:row>
      <xdr:rowOff>103412</xdr:rowOff>
    </xdr:from>
    <xdr:to>
      <xdr:col>27</xdr:col>
      <xdr:colOff>190500</xdr:colOff>
      <xdr:row>20</xdr:row>
      <xdr:rowOff>190499</xdr:rowOff>
    </xdr:to>
    <mc:AlternateContent xmlns:mc="http://schemas.openxmlformats.org/markup-compatibility/2006" xmlns:a14="http://schemas.microsoft.com/office/drawing/2010/main">
      <mc:Choice Requires="a14">
        <xdr:graphicFrame macro="">
          <xdr:nvGraphicFramePr>
            <xdr:cNvPr id="17" name="Physician">
              <a:extLst>
                <a:ext uri="{FF2B5EF4-FFF2-40B4-BE49-F238E27FC236}">
                  <a16:creationId xmlns:a16="http://schemas.microsoft.com/office/drawing/2014/main" id="{5BD11815-6BC5-43F8-97D4-87B2751B0BBD}"/>
                </a:ext>
              </a:extLst>
            </xdr:cNvPr>
            <xdr:cNvGraphicFramePr/>
          </xdr:nvGraphicFramePr>
          <xdr:xfrm>
            <a:off x="0" y="0"/>
            <a:ext cx="0" cy="0"/>
          </xdr:xfrm>
          <a:graphic>
            <a:graphicData uri="http://schemas.microsoft.com/office/drawing/2010/slicer">
              <sle:slicer xmlns:sle="http://schemas.microsoft.com/office/drawing/2010/slicer" name="Physician"/>
            </a:graphicData>
          </a:graphic>
        </xdr:graphicFrame>
      </mc:Choice>
      <mc:Fallback xmlns="">
        <xdr:sp macro="" textlink="">
          <xdr:nvSpPr>
            <xdr:cNvPr id="0" name=""/>
            <xdr:cNvSpPr>
              <a:spLocks noTextEdit="1"/>
            </xdr:cNvSpPr>
          </xdr:nvSpPr>
          <xdr:spPr>
            <a:xfrm>
              <a:off x="14001751" y="2198912"/>
              <a:ext cx="2721428" cy="1801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530679</xdr:colOff>
      <xdr:row>30</xdr:row>
      <xdr:rowOff>40822</xdr:rowOff>
    </xdr:from>
    <xdr:to>
      <xdr:col>27</xdr:col>
      <xdr:colOff>149678</xdr:colOff>
      <xdr:row>38</xdr:row>
      <xdr:rowOff>13608</xdr:rowOff>
    </xdr:to>
    <mc:AlternateContent xmlns:mc="http://schemas.openxmlformats.org/markup-compatibility/2006" xmlns:a14="http://schemas.microsoft.com/office/drawing/2010/main">
      <mc:Choice Requires="a14">
        <xdr:graphicFrame macro="">
          <xdr:nvGraphicFramePr>
            <xdr:cNvPr id="19" name="Insurer">
              <a:extLst>
                <a:ext uri="{FF2B5EF4-FFF2-40B4-BE49-F238E27FC236}">
                  <a16:creationId xmlns:a16="http://schemas.microsoft.com/office/drawing/2014/main" id="{5043AC3D-4FF9-4C2B-B194-93E22A17521A}"/>
                </a:ext>
              </a:extLst>
            </xdr:cNvPr>
            <xdr:cNvGraphicFramePr/>
          </xdr:nvGraphicFramePr>
          <xdr:xfrm>
            <a:off x="0" y="0"/>
            <a:ext cx="0" cy="0"/>
          </xdr:xfrm>
          <a:graphic>
            <a:graphicData uri="http://schemas.microsoft.com/office/drawing/2010/slicer">
              <sle:slicer xmlns:sle="http://schemas.microsoft.com/office/drawing/2010/slicer" name="Insurer"/>
            </a:graphicData>
          </a:graphic>
        </xdr:graphicFrame>
      </mc:Choice>
      <mc:Fallback xmlns="">
        <xdr:sp macro="" textlink="">
          <xdr:nvSpPr>
            <xdr:cNvPr id="0" name=""/>
            <xdr:cNvSpPr>
              <a:spLocks noTextEdit="1"/>
            </xdr:cNvSpPr>
          </xdr:nvSpPr>
          <xdr:spPr>
            <a:xfrm>
              <a:off x="14001750" y="5755822"/>
              <a:ext cx="2680607" cy="1496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530680</xdr:colOff>
      <xdr:row>21</xdr:row>
      <xdr:rowOff>13606</xdr:rowOff>
    </xdr:from>
    <xdr:to>
      <xdr:col>27</xdr:col>
      <xdr:colOff>190500</xdr:colOff>
      <xdr:row>30</xdr:row>
      <xdr:rowOff>40821</xdr:rowOff>
    </xdr:to>
    <mc:AlternateContent xmlns:mc="http://schemas.openxmlformats.org/markup-compatibility/2006" xmlns:a14="http://schemas.microsoft.com/office/drawing/2010/main">
      <mc:Choice Requires="a14">
        <xdr:graphicFrame macro="">
          <xdr:nvGraphicFramePr>
            <xdr:cNvPr id="20" name="Provider Specialty">
              <a:extLst>
                <a:ext uri="{FF2B5EF4-FFF2-40B4-BE49-F238E27FC236}">
                  <a16:creationId xmlns:a16="http://schemas.microsoft.com/office/drawing/2014/main" id="{93CF5756-77E7-4361-9289-713547E10EAE}"/>
                </a:ext>
              </a:extLst>
            </xdr:cNvPr>
            <xdr:cNvGraphicFramePr/>
          </xdr:nvGraphicFramePr>
          <xdr:xfrm>
            <a:off x="0" y="0"/>
            <a:ext cx="0" cy="0"/>
          </xdr:xfrm>
          <a:graphic>
            <a:graphicData uri="http://schemas.microsoft.com/office/drawing/2010/slicer">
              <sle:slicer xmlns:sle="http://schemas.microsoft.com/office/drawing/2010/slicer" name="Provider Specialty"/>
            </a:graphicData>
          </a:graphic>
        </xdr:graphicFrame>
      </mc:Choice>
      <mc:Fallback xmlns="">
        <xdr:sp macro="" textlink="">
          <xdr:nvSpPr>
            <xdr:cNvPr id="0" name=""/>
            <xdr:cNvSpPr>
              <a:spLocks noTextEdit="1"/>
            </xdr:cNvSpPr>
          </xdr:nvSpPr>
          <xdr:spPr>
            <a:xfrm>
              <a:off x="14001751" y="4014106"/>
              <a:ext cx="2721428" cy="1741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544286</xdr:colOff>
      <xdr:row>1</xdr:row>
      <xdr:rowOff>176894</xdr:rowOff>
    </xdr:from>
    <xdr:to>
      <xdr:col>27</xdr:col>
      <xdr:colOff>176893</xdr:colOff>
      <xdr:row>11</xdr:row>
      <xdr:rowOff>68036</xdr:rowOff>
    </xdr:to>
    <mc:AlternateContent xmlns:mc="http://schemas.openxmlformats.org/markup-compatibility/2006" xmlns:a14="http://schemas.microsoft.com/office/drawing/2010/main">
      <mc:Choice Requires="a14">
        <xdr:graphicFrame macro="">
          <xdr:nvGraphicFramePr>
            <xdr:cNvPr id="18" name="Location Name">
              <a:extLst>
                <a:ext uri="{FF2B5EF4-FFF2-40B4-BE49-F238E27FC236}">
                  <a16:creationId xmlns:a16="http://schemas.microsoft.com/office/drawing/2014/main" id="{43211F86-82CC-4A7C-A751-9098F0B7D6D4}"/>
                </a:ext>
              </a:extLst>
            </xdr:cNvPr>
            <xdr:cNvGraphicFramePr/>
          </xdr:nvGraphicFramePr>
          <xdr:xfrm>
            <a:off x="0" y="0"/>
            <a:ext cx="0" cy="0"/>
          </xdr:xfrm>
          <a:graphic>
            <a:graphicData uri="http://schemas.microsoft.com/office/drawing/2010/slicer">
              <sle:slicer xmlns:sle="http://schemas.microsoft.com/office/drawing/2010/slicer" name="Location Name"/>
            </a:graphicData>
          </a:graphic>
        </xdr:graphicFrame>
      </mc:Choice>
      <mc:Fallback xmlns="">
        <xdr:sp macro="" textlink="">
          <xdr:nvSpPr>
            <xdr:cNvPr id="0" name=""/>
            <xdr:cNvSpPr>
              <a:spLocks noTextEdit="1"/>
            </xdr:cNvSpPr>
          </xdr:nvSpPr>
          <xdr:spPr>
            <a:xfrm>
              <a:off x="14015357" y="367394"/>
              <a:ext cx="2694215" cy="1796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367393</xdr:colOff>
      <xdr:row>9</xdr:row>
      <xdr:rowOff>149679</xdr:rowOff>
    </xdr:from>
    <xdr:ext cx="184731" cy="264560"/>
    <xdr:sp macro="" textlink="">
      <xdr:nvSpPr>
        <xdr:cNvPr id="21" name="TextBox 20">
          <a:extLst>
            <a:ext uri="{FF2B5EF4-FFF2-40B4-BE49-F238E27FC236}">
              <a16:creationId xmlns:a16="http://schemas.microsoft.com/office/drawing/2014/main" id="{EE7CEAF9-D1D0-872C-864F-8CC3775846E3}"/>
            </a:ext>
          </a:extLst>
        </xdr:cNvPr>
        <xdr:cNvSpPr txBox="1"/>
      </xdr:nvSpPr>
      <xdr:spPr>
        <a:xfrm>
          <a:off x="979714" y="1864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twoCellAnchor>
    <xdr:from>
      <xdr:col>3</xdr:col>
      <xdr:colOff>326573</xdr:colOff>
      <xdr:row>7</xdr:row>
      <xdr:rowOff>108858</xdr:rowOff>
    </xdr:from>
    <xdr:to>
      <xdr:col>6</xdr:col>
      <xdr:colOff>517071</xdr:colOff>
      <xdr:row>9</xdr:row>
      <xdr:rowOff>190499</xdr:rowOff>
    </xdr:to>
    <xdr:sp macro="" textlink="">
      <xdr:nvSpPr>
        <xdr:cNvPr id="22" name="TextBox 21">
          <a:extLst>
            <a:ext uri="{FF2B5EF4-FFF2-40B4-BE49-F238E27FC236}">
              <a16:creationId xmlns:a16="http://schemas.microsoft.com/office/drawing/2014/main" id="{E7D881EE-163A-122F-DC6C-B5801EA2EBD6}"/>
            </a:ext>
          </a:extLst>
        </xdr:cNvPr>
        <xdr:cNvSpPr txBox="1"/>
      </xdr:nvSpPr>
      <xdr:spPr>
        <a:xfrm>
          <a:off x="2163537" y="1442358"/>
          <a:ext cx="2027463" cy="462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kern="1200">
              <a:solidFill>
                <a:srgbClr val="6AB187"/>
              </a:solidFill>
            </a:rPr>
            <a:t>Gross</a:t>
          </a:r>
          <a:r>
            <a:rPr lang="en-US" sz="2200" b="1" kern="1200" baseline="0">
              <a:solidFill>
                <a:srgbClr val="6AB187"/>
              </a:solidFill>
            </a:rPr>
            <a:t> Charges</a:t>
          </a:r>
        </a:p>
        <a:p>
          <a:endParaRPr lang="en-US" sz="2200" b="1" kern="1200">
            <a:solidFill>
              <a:srgbClr val="6AB187"/>
            </a:solidFill>
          </a:endParaRPr>
        </a:p>
      </xdr:txBody>
    </xdr:sp>
    <xdr:clientData/>
  </xdr:twoCellAnchor>
  <xdr:twoCellAnchor>
    <xdr:from>
      <xdr:col>4</xdr:col>
      <xdr:colOff>54429</xdr:colOff>
      <xdr:row>9</xdr:row>
      <xdr:rowOff>163285</xdr:rowOff>
    </xdr:from>
    <xdr:to>
      <xdr:col>6</xdr:col>
      <xdr:colOff>258536</xdr:colOff>
      <xdr:row>12</xdr:row>
      <xdr:rowOff>95250</xdr:rowOff>
    </xdr:to>
    <xdr:sp macro="" textlink="Grosscharges">
      <xdr:nvSpPr>
        <xdr:cNvPr id="23" name="TextBox 22">
          <a:extLst>
            <a:ext uri="{FF2B5EF4-FFF2-40B4-BE49-F238E27FC236}">
              <a16:creationId xmlns:a16="http://schemas.microsoft.com/office/drawing/2014/main" id="{7552E21C-A076-6AA4-7D21-0553B1C63412}"/>
            </a:ext>
          </a:extLst>
        </xdr:cNvPr>
        <xdr:cNvSpPr txBox="1"/>
      </xdr:nvSpPr>
      <xdr:spPr>
        <a:xfrm>
          <a:off x="2503715" y="1877785"/>
          <a:ext cx="1428750" cy="5034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11D758-19AC-4D50-A7D1-A0A46E7B1248}" type="TxLink">
            <a:rPr lang="en-US" sz="3000" b="1" i="0" u="none" strike="noStrike" kern="1200">
              <a:solidFill>
                <a:srgbClr val="4A90E2"/>
              </a:solidFill>
              <a:latin typeface="Aptos Narrow"/>
            </a:rPr>
            <a:pPr/>
            <a:t>$1.47m</a:t>
          </a:fld>
          <a:endParaRPr lang="en-US" sz="3000" b="1" kern="1200">
            <a:solidFill>
              <a:srgbClr val="4A90E2"/>
            </a:solidFill>
          </a:endParaRPr>
        </a:p>
      </xdr:txBody>
    </xdr:sp>
    <xdr:clientData/>
  </xdr:twoCellAnchor>
  <xdr:twoCellAnchor>
    <xdr:from>
      <xdr:col>8</xdr:col>
      <xdr:colOff>258538</xdr:colOff>
      <xdr:row>7</xdr:row>
      <xdr:rowOff>149680</xdr:rowOff>
    </xdr:from>
    <xdr:to>
      <xdr:col>11</xdr:col>
      <xdr:colOff>299359</xdr:colOff>
      <xdr:row>9</xdr:row>
      <xdr:rowOff>176894</xdr:rowOff>
    </xdr:to>
    <xdr:sp macro="" textlink="">
      <xdr:nvSpPr>
        <xdr:cNvPr id="24" name="TextBox 23">
          <a:extLst>
            <a:ext uri="{FF2B5EF4-FFF2-40B4-BE49-F238E27FC236}">
              <a16:creationId xmlns:a16="http://schemas.microsoft.com/office/drawing/2014/main" id="{B0BD0424-EA93-61A8-A208-9DC0B7A1AEE0}"/>
            </a:ext>
          </a:extLst>
        </xdr:cNvPr>
        <xdr:cNvSpPr txBox="1"/>
      </xdr:nvSpPr>
      <xdr:spPr>
        <a:xfrm>
          <a:off x="5157109" y="1483180"/>
          <a:ext cx="1877786" cy="40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kern="1200">
              <a:solidFill>
                <a:srgbClr val="6AB187"/>
              </a:solidFill>
            </a:rPr>
            <a:t>Total Revenue</a:t>
          </a:r>
        </a:p>
      </xdr:txBody>
    </xdr:sp>
    <xdr:clientData/>
  </xdr:twoCellAnchor>
  <xdr:twoCellAnchor>
    <xdr:from>
      <xdr:col>8</xdr:col>
      <xdr:colOff>0</xdr:colOff>
      <xdr:row>9</xdr:row>
      <xdr:rowOff>122464</xdr:rowOff>
    </xdr:from>
    <xdr:to>
      <xdr:col>11</xdr:col>
      <xdr:colOff>462642</xdr:colOff>
      <xdr:row>12</xdr:row>
      <xdr:rowOff>40821</xdr:rowOff>
    </xdr:to>
    <xdr:sp macro="" textlink="Totalrevenue">
      <xdr:nvSpPr>
        <xdr:cNvPr id="25" name="TextBox 24">
          <a:extLst>
            <a:ext uri="{FF2B5EF4-FFF2-40B4-BE49-F238E27FC236}">
              <a16:creationId xmlns:a16="http://schemas.microsoft.com/office/drawing/2014/main" id="{7768121E-5B4F-0792-08F4-9E0124E52E8C}"/>
            </a:ext>
          </a:extLst>
        </xdr:cNvPr>
        <xdr:cNvSpPr txBox="1"/>
      </xdr:nvSpPr>
      <xdr:spPr>
        <a:xfrm>
          <a:off x="4898571" y="1836964"/>
          <a:ext cx="2299607" cy="489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53633F-6894-41A8-84D9-3BADC77E130F}" type="TxLink">
            <a:rPr lang="en-US" sz="3000" b="1" i="0" u="none" strike="noStrike" kern="1200">
              <a:solidFill>
                <a:srgbClr val="4A90E2"/>
              </a:solidFill>
              <a:latin typeface="Aptos Narrow"/>
            </a:rPr>
            <a:pPr/>
            <a:t>-$703,613.29</a:t>
          </a:fld>
          <a:endParaRPr lang="en-US" sz="3000" b="1" kern="1200">
            <a:solidFill>
              <a:srgbClr val="4A90E2"/>
            </a:solidFill>
          </a:endParaRPr>
        </a:p>
      </xdr:txBody>
    </xdr:sp>
    <xdr:clientData/>
  </xdr:twoCellAnchor>
  <xdr:twoCellAnchor>
    <xdr:from>
      <xdr:col>13</xdr:col>
      <xdr:colOff>421821</xdr:colOff>
      <xdr:row>7</xdr:row>
      <xdr:rowOff>122464</xdr:rowOff>
    </xdr:from>
    <xdr:to>
      <xdr:col>16</xdr:col>
      <xdr:colOff>476250</xdr:colOff>
      <xdr:row>9</xdr:row>
      <xdr:rowOff>163286</xdr:rowOff>
    </xdr:to>
    <xdr:sp macro="" textlink="">
      <xdr:nvSpPr>
        <xdr:cNvPr id="26" name="TextBox 25">
          <a:extLst>
            <a:ext uri="{FF2B5EF4-FFF2-40B4-BE49-F238E27FC236}">
              <a16:creationId xmlns:a16="http://schemas.microsoft.com/office/drawing/2014/main" id="{D35E9E34-AAB0-EAD5-A266-DCB44743C79F}"/>
            </a:ext>
          </a:extLst>
        </xdr:cNvPr>
        <xdr:cNvSpPr txBox="1"/>
      </xdr:nvSpPr>
      <xdr:spPr>
        <a:xfrm>
          <a:off x="8382000" y="1455964"/>
          <a:ext cx="1891393" cy="4218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kern="1200">
              <a:solidFill>
                <a:srgbClr val="6AB187"/>
              </a:solidFill>
            </a:rPr>
            <a:t>Total Patients</a:t>
          </a:r>
        </a:p>
      </xdr:txBody>
    </xdr:sp>
    <xdr:clientData/>
  </xdr:twoCellAnchor>
  <xdr:twoCellAnchor>
    <xdr:from>
      <xdr:col>14</xdr:col>
      <xdr:colOff>122464</xdr:colOff>
      <xdr:row>9</xdr:row>
      <xdr:rowOff>163287</xdr:rowOff>
    </xdr:from>
    <xdr:to>
      <xdr:col>16</xdr:col>
      <xdr:colOff>40821</xdr:colOff>
      <xdr:row>12</xdr:row>
      <xdr:rowOff>108857</xdr:rowOff>
    </xdr:to>
    <xdr:sp macro="" textlink="Totalpatients">
      <xdr:nvSpPr>
        <xdr:cNvPr id="27" name="TextBox 26">
          <a:extLst>
            <a:ext uri="{FF2B5EF4-FFF2-40B4-BE49-F238E27FC236}">
              <a16:creationId xmlns:a16="http://schemas.microsoft.com/office/drawing/2014/main" id="{0A42A17A-DCE4-9716-45CE-92E6CFE1643F}"/>
            </a:ext>
          </a:extLst>
        </xdr:cNvPr>
        <xdr:cNvSpPr txBox="1"/>
      </xdr:nvSpPr>
      <xdr:spPr>
        <a:xfrm>
          <a:off x="8694964" y="1877787"/>
          <a:ext cx="1143000" cy="517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7B0139-50F3-476E-84B1-8CDC9C4364E5}" type="TxLink">
            <a:rPr lang="en-US" sz="3000" b="1" i="0" u="none" strike="noStrike" kern="1200">
              <a:solidFill>
                <a:srgbClr val="4A90E2"/>
              </a:solidFill>
              <a:latin typeface="Aptos Narrow"/>
            </a:rPr>
            <a:pPr/>
            <a:t>5,117</a:t>
          </a:fld>
          <a:endParaRPr lang="en-US" sz="3000" b="1" kern="1200">
            <a:solidFill>
              <a:srgbClr val="4A90E2"/>
            </a:solidFill>
          </a:endParaRPr>
        </a:p>
      </xdr:txBody>
    </xdr:sp>
    <xdr:clientData/>
  </xdr:twoCellAnchor>
  <xdr:twoCellAnchor>
    <xdr:from>
      <xdr:col>18</xdr:col>
      <xdr:colOff>108858</xdr:colOff>
      <xdr:row>7</xdr:row>
      <xdr:rowOff>108857</xdr:rowOff>
    </xdr:from>
    <xdr:to>
      <xdr:col>21</xdr:col>
      <xdr:colOff>408215</xdr:colOff>
      <xdr:row>10</xdr:row>
      <xdr:rowOff>0</xdr:rowOff>
    </xdr:to>
    <xdr:sp macro="" textlink="">
      <xdr:nvSpPr>
        <xdr:cNvPr id="28" name="TextBox 27">
          <a:extLst>
            <a:ext uri="{FF2B5EF4-FFF2-40B4-BE49-F238E27FC236}">
              <a16:creationId xmlns:a16="http://schemas.microsoft.com/office/drawing/2014/main" id="{73EB7CCE-B02D-9020-D059-1A06F252777A}"/>
            </a:ext>
          </a:extLst>
        </xdr:cNvPr>
        <xdr:cNvSpPr txBox="1"/>
      </xdr:nvSpPr>
      <xdr:spPr>
        <a:xfrm>
          <a:off x="11130644" y="1442357"/>
          <a:ext cx="2136321"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kern="1200">
              <a:solidFill>
                <a:srgbClr val="6AB187"/>
              </a:solidFill>
            </a:rPr>
            <a:t>Total Physicians</a:t>
          </a:r>
        </a:p>
      </xdr:txBody>
    </xdr:sp>
    <xdr:clientData/>
  </xdr:twoCellAnchor>
  <xdr:twoCellAnchor>
    <xdr:from>
      <xdr:col>19</xdr:col>
      <xdr:colOff>122466</xdr:colOff>
      <xdr:row>9</xdr:row>
      <xdr:rowOff>163286</xdr:rowOff>
    </xdr:from>
    <xdr:to>
      <xdr:col>20</xdr:col>
      <xdr:colOff>285750</xdr:colOff>
      <xdr:row>12</xdr:row>
      <xdr:rowOff>68036</xdr:rowOff>
    </xdr:to>
    <xdr:sp macro="" textlink="Totalphysicians">
      <xdr:nvSpPr>
        <xdr:cNvPr id="29" name="TextBox 28">
          <a:extLst>
            <a:ext uri="{FF2B5EF4-FFF2-40B4-BE49-F238E27FC236}">
              <a16:creationId xmlns:a16="http://schemas.microsoft.com/office/drawing/2014/main" id="{0129C366-7F48-929C-B71F-F04A649535F9}"/>
            </a:ext>
          </a:extLst>
        </xdr:cNvPr>
        <xdr:cNvSpPr txBox="1"/>
      </xdr:nvSpPr>
      <xdr:spPr>
        <a:xfrm>
          <a:off x="11756573" y="1877786"/>
          <a:ext cx="775606"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944114-F01F-4D7F-93B4-CD0875A8010A}" type="TxLink">
            <a:rPr lang="en-US" sz="3000" b="1" i="0" u="none" strike="noStrike" kern="1200">
              <a:solidFill>
                <a:srgbClr val="4A90E2"/>
              </a:solidFill>
              <a:latin typeface="Aptos Narrow"/>
            </a:rPr>
            <a:pPr/>
            <a:t>932</a:t>
          </a:fld>
          <a:endParaRPr lang="en-US" sz="3000" b="1" kern="1200">
            <a:solidFill>
              <a:srgbClr val="4A90E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2.691593981479" createdVersion="8" refreshedVersion="8" minRefreshableVersion="3" recordCount="4" xr:uid="{2D573E2A-F01E-4AB0-B8FD-B02CBC1838F0}">
  <cacheSource type="worksheet">
    <worksheetSource ref="F4:G8" sheet="Rank amount owed"/>
  </cacheSource>
  <cacheFields count="2">
    <cacheField name="Insurer" numFmtId="0">
      <sharedItems count="4">
        <s v="Commercial"/>
        <s v="Medicare"/>
        <s v="Medicaid"/>
        <s v="Other"/>
      </sharedItems>
    </cacheField>
    <cacheField name="Total amount owed" numFmtId="0">
      <sharedItems containsSemiMixedTypes="0" containsString="0" containsNumber="1" minValue="2599.21" maxValue="30261.040000000001"/>
    </cacheField>
  </cacheFields>
  <extLst>
    <ext xmlns:x14="http://schemas.microsoft.com/office/spreadsheetml/2009/9/main" uri="{725AE2AE-9491-48be-B2B4-4EB974FC3084}">
      <x14:pivotCacheDefinition pivotCacheId="9537682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2.692360995374" createdVersion="8" refreshedVersion="8" minRefreshableVersion="3" recordCount="5" xr:uid="{D3C70080-7679-4070-866B-049B94D02868}">
  <cacheSource type="worksheet">
    <worksheetSource ref="B3:C8" sheet="Rank Procedure"/>
  </cacheSource>
  <cacheFields count="2">
    <cacheField name="Provider Specialty" numFmtId="0">
      <sharedItems count="5">
        <s v="Internal Medicine"/>
        <s v="Family Medicine"/>
        <s v="Radiology"/>
        <s v="Physical Medicine &amp; Rehabilitation"/>
        <s v="Obstetrics &amp; Gynecology"/>
      </sharedItems>
    </cacheField>
    <cacheField name="Procedure" numFmtId="0">
      <sharedItems containsSemiMixedTypes="0" containsString="0" containsNumber="1" containsInteger="1" minValue="1015" maxValue="5049"/>
    </cacheField>
  </cacheFields>
  <extLst>
    <ext xmlns:x14="http://schemas.microsoft.com/office/spreadsheetml/2009/9/main" uri="{725AE2AE-9491-48be-B2B4-4EB974FC3084}">
      <x14:pivotCacheDefinition pivotCacheId="186035278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2.693468055557" createdVersion="8" refreshedVersion="8" minRefreshableVersion="3" recordCount="5" xr:uid="{95E5CA90-D7A7-43B1-8182-02B9718F018E}">
  <cacheSource type="worksheet">
    <worksheetSource ref="G3:H8" sheet="Rank Physician"/>
  </cacheSource>
  <cacheFields count="2">
    <cacheField name="Physician" numFmtId="0">
      <sharedItems count="5">
        <s v="Dr. Hendricks"/>
        <s v="Dr. Hurley"/>
        <s v="Dr. Giles"/>
        <s v="Dr. Miles"/>
        <s v="Dr. Freeman"/>
      </sharedItems>
    </cacheField>
    <cacheField name="Total Procedure" numFmtId="0">
      <sharedItems containsSemiMixedTypes="0" containsString="0" containsNumber="1" containsInteger="1" minValue="175" maxValue="1616" count="5">
        <n v="1616"/>
        <n v="514"/>
        <n v="304"/>
        <n v="238"/>
        <n v="175"/>
      </sharedItems>
    </cacheField>
  </cacheFields>
  <extLst>
    <ext xmlns:x14="http://schemas.microsoft.com/office/spreadsheetml/2009/9/main" uri="{725AE2AE-9491-48be-B2B4-4EB974FC3084}">
      <x14:pivotCacheDefinition pivotCacheId="54918429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2.694447685186" createdVersion="8" refreshedVersion="8" minRefreshableVersion="3" recordCount="5" xr:uid="{8807E6B6-B1E3-4963-B94E-BAA32393FA80}">
  <cacheSource type="worksheet">
    <worksheetSource ref="C2:D7" sheet="Rank location"/>
  </cacheSource>
  <cacheFields count="2">
    <cacheField name="Location Name" numFmtId="0">
      <sharedItems count="5">
        <s v="Angelstone Community Hospital"/>
        <s v="Big Heart Community Hospital"/>
        <s v="Principal Medical Clinic"/>
        <s v="Guardian Medical Clinic"/>
        <s v="Fairview General Hospital"/>
      </sharedItems>
    </cacheField>
    <cacheField name="Patients" numFmtId="0">
      <sharedItems containsSemiMixedTypes="0" containsString="0" containsNumber="1" containsInteger="1" minValue="395" maxValue="2176" count="5">
        <n v="2176"/>
        <n v="1037"/>
        <n v="472"/>
        <n v="400"/>
        <n v="395"/>
      </sharedItems>
    </cacheField>
  </cacheFields>
  <extLst>
    <ext xmlns:x14="http://schemas.microsoft.com/office/spreadsheetml/2009/9/main" uri="{725AE2AE-9491-48be-B2B4-4EB974FC3084}">
      <x14:pivotCacheDefinition pivotCacheId="1833182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0261.040000000001"/>
  </r>
  <r>
    <x v="1"/>
    <n v="13510.47"/>
  </r>
  <r>
    <x v="2"/>
    <n v="5600"/>
  </r>
  <r>
    <x v="3"/>
    <n v="2599.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5049"/>
  </r>
  <r>
    <x v="1"/>
    <n v="2630"/>
  </r>
  <r>
    <x v="2"/>
    <n v="2078"/>
  </r>
  <r>
    <x v="3"/>
    <n v="1697"/>
  </r>
  <r>
    <x v="4"/>
    <n v="101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BA5717-2197-4711-A484-74C09E28FA87}" name="Rank Locatio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F11:G17" firstHeaderRow="1" firstDataRow="1" firstDataCol="1"/>
  <pivotFields count="2">
    <pivotField axis="axisRow" showAll="0" sortType="ascending">
      <items count="6">
        <item x="0"/>
        <item x="1"/>
        <item x="4"/>
        <item x="3"/>
        <item x="2"/>
        <item t="default"/>
      </items>
      <autoSortScope>
        <pivotArea dataOnly="0" outline="0" fieldPosition="0">
          <references count="1">
            <reference field="4294967294" count="1" selected="0">
              <x v="0"/>
            </reference>
          </references>
        </pivotArea>
      </autoSortScope>
    </pivotField>
    <pivotField dataField="1" showAll="0">
      <items count="6">
        <item x="4"/>
        <item x="3"/>
        <item x="2"/>
        <item x="1"/>
        <item x="0"/>
        <item t="default"/>
      </items>
    </pivotField>
  </pivotFields>
  <rowFields count="1">
    <field x="0"/>
  </rowFields>
  <rowItems count="6">
    <i>
      <x v="2"/>
    </i>
    <i>
      <x v="3"/>
    </i>
    <i>
      <x v="4"/>
    </i>
    <i>
      <x v="1"/>
    </i>
    <i>
      <x/>
    </i>
    <i t="grand">
      <x/>
    </i>
  </rowItems>
  <colItems count="1">
    <i/>
  </colItems>
  <dataFields count="1">
    <dataField name="Sum of Patients" fld="1" baseField="0" baseItem="0" numFmtId="3"/>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904E67-6D8C-4BB1-A768-7A0B2537DFB1}" name="Rank Physicia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F3:G9" firstHeaderRow="1" firstDataRow="1" firstDataCol="1"/>
  <pivotFields count="2">
    <pivotField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dataField="1" showAll="0">
      <items count="6">
        <item x="4"/>
        <item x="3"/>
        <item x="2"/>
        <item x="1"/>
        <item x="0"/>
        <item t="default"/>
      </items>
    </pivotField>
  </pivotFields>
  <rowFields count="1">
    <field x="0"/>
  </rowFields>
  <rowItems count="6">
    <i>
      <x v="2"/>
    </i>
    <i>
      <x v="3"/>
    </i>
    <i>
      <x v="1"/>
    </i>
    <i>
      <x v="4"/>
    </i>
    <i>
      <x/>
    </i>
    <i t="grand">
      <x/>
    </i>
  </rowItems>
  <colItems count="1">
    <i/>
  </colItems>
  <dataFields count="1">
    <dataField name="Sum of Total Procedure" fld="1" baseField="0" baseItem="0" numFmtId="3"/>
  </dataFields>
  <formats count="2">
    <format dxfId="3">
      <pivotArea outline="0" collapsedLevelsAreSubtotals="1" fieldPosition="0"/>
    </format>
    <format dxfId="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426CD0-B6FB-4090-9848-AAD7F2F129F1}" name="Rank Procedur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11:C17" firstHeaderRow="1" firstDataRow="1" firstDataCol="1"/>
  <pivotFields count="2">
    <pivotField axis="axisRow" showAll="0" sortType="ascending">
      <items count="6">
        <item x="1"/>
        <item x="0"/>
        <item x="4"/>
        <item x="3"/>
        <item x="2"/>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2"/>
    </i>
    <i>
      <x v="3"/>
    </i>
    <i>
      <x v="4"/>
    </i>
    <i>
      <x/>
    </i>
    <i>
      <x v="1"/>
    </i>
    <i t="grand">
      <x/>
    </i>
  </rowItems>
  <colItems count="1">
    <i/>
  </colItems>
  <dataFields count="1">
    <dataField name="Sum of Procedure" fld="1" baseField="0" baseItem="0" numFmtId="3"/>
  </dataFields>
  <formats count="2">
    <format dxfId="5">
      <pivotArea outline="0" collapsedLevelsAreSubtotals="1" fieldPosition="0"/>
    </format>
    <format dxfId="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15740F-5D7C-4005-8CC1-7861E6356864}" name="Rank amt owed"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B3:C8" firstHeaderRow="1" firstDataRow="1" firstDataCol="1"/>
  <pivotFields count="2">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i>
    <i>
      <x v="2"/>
    </i>
    <i>
      <x v="1"/>
    </i>
    <i>
      <x v="3"/>
    </i>
    <i t="grand">
      <x/>
    </i>
  </rowItems>
  <colItems count="1">
    <i/>
  </colItems>
  <dataFields count="1">
    <dataField name="Sum of Total amount owed" fld="1" baseField="0" baseItem="0" numFmtId="164"/>
  </dataFields>
  <formats count="2">
    <format dxfId="7">
      <pivotArea outline="0" collapsedLevelsAreSubtotals="1" fieldPosition="0"/>
    </format>
    <format dxfId="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ian" xr10:uid="{F43191AB-7600-4FB1-A6F1-0266ABABC760}" sourceName="Physician">
  <pivotTables>
    <pivotTable tabId="8" name="Rank Physician"/>
  </pivotTables>
  <data>
    <tabular pivotCacheId="549184298">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Name" xr10:uid="{90EE86AF-5A75-48CF-B72B-F836D833A17B}" sourceName="Location Name">
  <pivotTables>
    <pivotTable tabId="8" name="Rank Location"/>
  </pivotTables>
  <data>
    <tabular pivotCacheId="1833182769">
      <items count="5">
        <i x="0" s="1"/>
        <i x="1"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er" xr10:uid="{C76DEFD9-957F-49AB-9E29-CAD56BD6E453}" sourceName="Insurer">
  <pivotTables>
    <pivotTable tabId="8" name="Rank amt owed"/>
  </pivotTables>
  <data>
    <tabular pivotCacheId="953768220">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der_Specialty" xr10:uid="{C32E3B7B-ADAB-49D1-870A-D9C06A69E909}" sourceName="Provider Specialty">
  <pivotTables>
    <pivotTable tabId="8" name="Rank Procedure"/>
  </pivotTables>
  <data>
    <tabular pivotCacheId="1860352789">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ysician" xr10:uid="{9A8982BC-7510-441F-8708-E045545149A6}" cache="Slicer_Physician" caption="Physician" rowHeight="257175"/>
  <slicer name="Location Name" xr10:uid="{F15C933F-BAF8-456B-AA53-E0AE62254298}" cache="Slicer_Location_Name" caption="Location Name" rowHeight="257175"/>
  <slicer name="Insurer" xr10:uid="{9D2F731A-96F0-451B-B762-5474265F496B}" cache="Slicer_Insurer" caption="Insurer" rowHeight="257175"/>
  <slicer name="Provider Specialty" xr10:uid="{1A6C3B49-2F56-4914-AC17-47A3DC74D19A}" cache="Slicer_Provider_Specialty" caption="Provider Specialt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7852-CBB3-4223-90DA-2FE629D23AAF}">
  <dimension ref="B2:E12"/>
  <sheetViews>
    <sheetView workbookViewId="0">
      <selection activeCell="C21" sqref="C21"/>
    </sheetView>
  </sheetViews>
  <sheetFormatPr defaultRowHeight="15" x14ac:dyDescent="0.25"/>
  <cols>
    <col min="2" max="2" width="15.5703125" bestFit="1" customWidth="1"/>
    <col min="3" max="3" width="23.42578125" bestFit="1" customWidth="1"/>
    <col min="4" max="4" width="22.85546875" bestFit="1" customWidth="1"/>
    <col min="5" max="5" width="19.28515625" bestFit="1" customWidth="1"/>
    <col min="7" max="7" width="28.85546875" bestFit="1" customWidth="1"/>
    <col min="8" max="8" width="10" bestFit="1" customWidth="1"/>
  </cols>
  <sheetData>
    <row r="2" spans="2:5" x14ac:dyDescent="0.25">
      <c r="B2" s="1" t="s">
        <v>31</v>
      </c>
      <c r="C2" s="1" t="s">
        <v>32</v>
      </c>
      <c r="D2" s="1" t="s">
        <v>0</v>
      </c>
      <c r="E2" s="1" t="s">
        <v>19</v>
      </c>
    </row>
    <row r="3" spans="2:5" x14ac:dyDescent="0.25">
      <c r="B3">
        <v>1472266.81</v>
      </c>
      <c r="C3">
        <v>-703613.29</v>
      </c>
      <c r="D3">
        <v>932</v>
      </c>
      <c r="E3">
        <v>5117</v>
      </c>
    </row>
    <row r="10" spans="2:5" x14ac:dyDescent="0.25">
      <c r="B10" s="1" t="s">
        <v>20</v>
      </c>
      <c r="D10" s="1" t="s">
        <v>29</v>
      </c>
      <c r="E10" s="1" t="s">
        <v>30</v>
      </c>
    </row>
    <row r="11" spans="2:5" x14ac:dyDescent="0.25">
      <c r="B11" t="s">
        <v>21</v>
      </c>
      <c r="C11" t="s">
        <v>7</v>
      </c>
      <c r="D11">
        <v>-716682.8</v>
      </c>
      <c r="E11">
        <v>51970.720000000001</v>
      </c>
    </row>
    <row r="12" spans="2:5" x14ac:dyDescent="0.25">
      <c r="B12" t="s">
        <v>1</v>
      </c>
      <c r="C12">
        <v>5049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48504-AA28-4149-8322-EB3168B5AB85}">
  <dimension ref="G3:I8"/>
  <sheetViews>
    <sheetView workbookViewId="0">
      <selection activeCell="F16" sqref="F16"/>
    </sheetView>
  </sheetViews>
  <sheetFormatPr defaultRowHeight="15" x14ac:dyDescent="0.25"/>
  <cols>
    <col min="7" max="7" width="12.85546875" bestFit="1" customWidth="1"/>
    <col min="8" max="8" width="15.28515625" bestFit="1" customWidth="1"/>
  </cols>
  <sheetData>
    <row r="3" spans="7:9" x14ac:dyDescent="0.25">
      <c r="G3" s="1" t="s">
        <v>27</v>
      </c>
      <c r="H3" s="1" t="s">
        <v>28</v>
      </c>
      <c r="I3" s="1"/>
    </row>
    <row r="4" spans="7:9" x14ac:dyDescent="0.25">
      <c r="G4" t="s">
        <v>22</v>
      </c>
      <c r="H4">
        <v>1616</v>
      </c>
    </row>
    <row r="5" spans="7:9" x14ac:dyDescent="0.25">
      <c r="G5" t="s">
        <v>23</v>
      </c>
      <c r="H5">
        <v>514</v>
      </c>
    </row>
    <row r="6" spans="7:9" x14ac:dyDescent="0.25">
      <c r="G6" t="s">
        <v>24</v>
      </c>
      <c r="H6">
        <v>304</v>
      </c>
    </row>
    <row r="7" spans="7:9" x14ac:dyDescent="0.25">
      <c r="G7" t="s">
        <v>25</v>
      </c>
      <c r="H7">
        <v>238</v>
      </c>
    </row>
    <row r="8" spans="7:9" x14ac:dyDescent="0.25">
      <c r="G8" t="s">
        <v>26</v>
      </c>
      <c r="H8">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CEEE-4094-45DF-8883-57CE7125BFA2}">
  <dimension ref="B3:C8"/>
  <sheetViews>
    <sheetView workbookViewId="0">
      <selection activeCell="H15" sqref="H15"/>
    </sheetView>
  </sheetViews>
  <sheetFormatPr defaultRowHeight="15" x14ac:dyDescent="0.25"/>
  <cols>
    <col min="2" max="2" width="32.140625" bestFit="1" customWidth="1"/>
    <col min="3" max="3" width="10.28515625" bestFit="1" customWidth="1"/>
  </cols>
  <sheetData>
    <row r="3" spans="2:3" x14ac:dyDescent="0.25">
      <c r="B3" s="1" t="s">
        <v>6</v>
      </c>
      <c r="C3" s="1" t="s">
        <v>7</v>
      </c>
    </row>
    <row r="4" spans="2:3" x14ac:dyDescent="0.25">
      <c r="B4" t="s">
        <v>1</v>
      </c>
      <c r="C4">
        <v>5049</v>
      </c>
    </row>
    <row r="5" spans="2:3" x14ac:dyDescent="0.25">
      <c r="B5" t="s">
        <v>2</v>
      </c>
      <c r="C5">
        <v>2630</v>
      </c>
    </row>
    <row r="6" spans="2:3" x14ac:dyDescent="0.25">
      <c r="B6" t="s">
        <v>3</v>
      </c>
      <c r="C6">
        <v>2078</v>
      </c>
    </row>
    <row r="7" spans="2:3" x14ac:dyDescent="0.25">
      <c r="B7" t="s">
        <v>4</v>
      </c>
      <c r="C7">
        <v>1697</v>
      </c>
    </row>
    <row r="8" spans="2:3" x14ac:dyDescent="0.25">
      <c r="B8" t="s">
        <v>5</v>
      </c>
      <c r="C8">
        <v>1015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25DF-7CBB-4485-A0B1-1AE85289F5E3}">
  <dimension ref="B1:D7"/>
  <sheetViews>
    <sheetView workbookViewId="0">
      <selection activeCell="E22" sqref="E22"/>
    </sheetView>
  </sheetViews>
  <sheetFormatPr defaultRowHeight="15" x14ac:dyDescent="0.25"/>
  <cols>
    <col min="2" max="2" width="11.85546875" customWidth="1"/>
    <col min="3" max="3" width="29.7109375" bestFit="1" customWidth="1"/>
  </cols>
  <sheetData>
    <row r="1" spans="2:4" x14ac:dyDescent="0.25">
      <c r="B1" s="2"/>
    </row>
    <row r="2" spans="2:4" x14ac:dyDescent="0.25">
      <c r="C2" s="1" t="s">
        <v>13</v>
      </c>
      <c r="D2" s="1" t="s">
        <v>14</v>
      </c>
    </row>
    <row r="3" spans="2:4" x14ac:dyDescent="0.25">
      <c r="C3" t="s">
        <v>8</v>
      </c>
      <c r="D3">
        <v>2176</v>
      </c>
    </row>
    <row r="4" spans="2:4" x14ac:dyDescent="0.25">
      <c r="C4" t="s">
        <v>9</v>
      </c>
      <c r="D4">
        <v>1037</v>
      </c>
    </row>
    <row r="5" spans="2:4" x14ac:dyDescent="0.25">
      <c r="C5" t="s">
        <v>10</v>
      </c>
      <c r="D5">
        <v>472</v>
      </c>
    </row>
    <row r="6" spans="2:4" x14ac:dyDescent="0.25">
      <c r="C6" t="s">
        <v>11</v>
      </c>
      <c r="D6">
        <v>400</v>
      </c>
    </row>
    <row r="7" spans="2:4" x14ac:dyDescent="0.25">
      <c r="C7" t="s">
        <v>12</v>
      </c>
      <c r="D7">
        <v>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04EF4-F1C5-4C0B-A97B-92824504B30E}">
  <dimension ref="F4:G8"/>
  <sheetViews>
    <sheetView topLeftCell="D1" workbookViewId="0">
      <selection activeCell="N18" sqref="N18"/>
    </sheetView>
  </sheetViews>
  <sheetFormatPr defaultRowHeight="15" x14ac:dyDescent="0.25"/>
  <cols>
    <col min="2" max="2" width="14.42578125" bestFit="1" customWidth="1"/>
    <col min="6" max="6" width="11.7109375" bestFit="1" customWidth="1"/>
    <col min="7" max="7" width="18.140625" bestFit="1" customWidth="1"/>
  </cols>
  <sheetData>
    <row r="4" spans="6:7" x14ac:dyDescent="0.25">
      <c r="F4" t="s">
        <v>33</v>
      </c>
      <c r="G4" t="s">
        <v>34</v>
      </c>
    </row>
    <row r="5" spans="6:7" x14ac:dyDescent="0.25">
      <c r="F5" t="s">
        <v>16</v>
      </c>
      <c r="G5">
        <v>30261.040000000001</v>
      </c>
    </row>
    <row r="6" spans="6:7" x14ac:dyDescent="0.25">
      <c r="F6" t="s">
        <v>15</v>
      </c>
      <c r="G6">
        <v>13510.47</v>
      </c>
    </row>
    <row r="7" spans="6:7" x14ac:dyDescent="0.25">
      <c r="F7" t="s">
        <v>17</v>
      </c>
      <c r="G7">
        <v>5600</v>
      </c>
    </row>
    <row r="8" spans="6:7" x14ac:dyDescent="0.25">
      <c r="F8" t="s">
        <v>18</v>
      </c>
      <c r="G8">
        <v>2599.21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B72D-24F7-4661-AFD3-EAD61BA43826}">
  <dimension ref="B3:G21"/>
  <sheetViews>
    <sheetView workbookViewId="0">
      <selection activeCell="F3" sqref="F3"/>
    </sheetView>
  </sheetViews>
  <sheetFormatPr defaultRowHeight="15" x14ac:dyDescent="0.25"/>
  <cols>
    <col min="2" max="2" width="13.42578125" bestFit="1" customWidth="1"/>
    <col min="3" max="3" width="25.140625" bestFit="1" customWidth="1"/>
    <col min="4" max="4" width="15.5703125" bestFit="1" customWidth="1"/>
    <col min="5" max="5" width="23.42578125" bestFit="1" customWidth="1"/>
    <col min="6" max="6" width="29.7109375" bestFit="1" customWidth="1"/>
    <col min="7" max="7" width="15.28515625" bestFit="1" customWidth="1"/>
  </cols>
  <sheetData>
    <row r="3" spans="2:7" x14ac:dyDescent="0.25">
      <c r="B3" s="3" t="s">
        <v>35</v>
      </c>
      <c r="C3" s="5" t="s">
        <v>37</v>
      </c>
      <c r="F3" s="3" t="s">
        <v>35</v>
      </c>
      <c r="G3" s="6" t="s">
        <v>39</v>
      </c>
    </row>
    <row r="4" spans="2:7" x14ac:dyDescent="0.25">
      <c r="B4" s="4" t="s">
        <v>16</v>
      </c>
      <c r="C4" s="5">
        <v>30261.040000000001</v>
      </c>
      <c r="F4" s="4" t="s">
        <v>22</v>
      </c>
      <c r="G4" s="6">
        <v>1616</v>
      </c>
    </row>
    <row r="5" spans="2:7" x14ac:dyDescent="0.25">
      <c r="B5" s="4" t="s">
        <v>15</v>
      </c>
      <c r="C5" s="5">
        <v>13510.47</v>
      </c>
      <c r="F5" s="4" t="s">
        <v>23</v>
      </c>
      <c r="G5" s="6">
        <v>514</v>
      </c>
    </row>
    <row r="6" spans="2:7" x14ac:dyDescent="0.25">
      <c r="B6" s="4" t="s">
        <v>17</v>
      </c>
      <c r="C6" s="5">
        <v>5600</v>
      </c>
      <c r="F6" s="4" t="s">
        <v>24</v>
      </c>
      <c r="G6" s="6">
        <v>304</v>
      </c>
    </row>
    <row r="7" spans="2:7" x14ac:dyDescent="0.25">
      <c r="B7" s="4" t="s">
        <v>18</v>
      </c>
      <c r="C7" s="5">
        <v>2599.21</v>
      </c>
      <c r="F7" s="4" t="s">
        <v>25</v>
      </c>
      <c r="G7" s="6">
        <v>238</v>
      </c>
    </row>
    <row r="8" spans="2:7" x14ac:dyDescent="0.25">
      <c r="B8" s="4" t="s">
        <v>36</v>
      </c>
      <c r="C8" s="5">
        <v>51970.720000000001</v>
      </c>
      <c r="F8" s="4" t="s">
        <v>26</v>
      </c>
      <c r="G8" s="6">
        <v>175</v>
      </c>
    </row>
    <row r="9" spans="2:7" x14ac:dyDescent="0.25">
      <c r="F9" s="4" t="s">
        <v>36</v>
      </c>
      <c r="G9" s="6">
        <v>2847</v>
      </c>
    </row>
    <row r="11" spans="2:7" x14ac:dyDescent="0.25">
      <c r="B11" s="3" t="s">
        <v>35</v>
      </c>
      <c r="C11" s="6" t="s">
        <v>38</v>
      </c>
      <c r="F11" s="3" t="s">
        <v>35</v>
      </c>
      <c r="G11" s="6" t="s">
        <v>40</v>
      </c>
    </row>
    <row r="12" spans="2:7" x14ac:dyDescent="0.25">
      <c r="B12" s="4" t="s">
        <v>5</v>
      </c>
      <c r="C12" s="6">
        <v>1015</v>
      </c>
      <c r="F12" s="4" t="s">
        <v>12</v>
      </c>
      <c r="G12" s="6">
        <v>395</v>
      </c>
    </row>
    <row r="13" spans="2:7" x14ac:dyDescent="0.25">
      <c r="B13" s="4" t="s">
        <v>4</v>
      </c>
      <c r="C13" s="6">
        <v>1697</v>
      </c>
      <c r="F13" s="4" t="s">
        <v>11</v>
      </c>
      <c r="G13" s="6">
        <v>400</v>
      </c>
    </row>
    <row r="14" spans="2:7" x14ac:dyDescent="0.25">
      <c r="B14" s="4" t="s">
        <v>3</v>
      </c>
      <c r="C14" s="6">
        <v>2078</v>
      </c>
      <c r="F14" s="4" t="s">
        <v>10</v>
      </c>
      <c r="G14" s="6">
        <v>472</v>
      </c>
    </row>
    <row r="15" spans="2:7" x14ac:dyDescent="0.25">
      <c r="B15" s="4" t="s">
        <v>2</v>
      </c>
      <c r="C15" s="6">
        <v>2630</v>
      </c>
      <c r="F15" s="4" t="s">
        <v>9</v>
      </c>
      <c r="G15" s="6">
        <v>1037</v>
      </c>
    </row>
    <row r="16" spans="2:7" x14ac:dyDescent="0.25">
      <c r="B16" s="4" t="s">
        <v>1</v>
      </c>
      <c r="C16" s="6">
        <v>5049</v>
      </c>
      <c r="F16" s="4" t="s">
        <v>8</v>
      </c>
      <c r="G16" s="6">
        <v>2176</v>
      </c>
    </row>
    <row r="17" spans="2:7" x14ac:dyDescent="0.25">
      <c r="B17" s="4" t="s">
        <v>36</v>
      </c>
      <c r="C17" s="6">
        <v>12469</v>
      </c>
      <c r="F17" s="4" t="s">
        <v>36</v>
      </c>
      <c r="G17" s="6">
        <v>4480</v>
      </c>
    </row>
    <row r="20" spans="2:7" x14ac:dyDescent="0.25">
      <c r="B20" s="8" t="s">
        <v>31</v>
      </c>
      <c r="C20" s="10" t="s">
        <v>32</v>
      </c>
      <c r="D20" s="1" t="s">
        <v>0</v>
      </c>
      <c r="E20" s="7" t="s">
        <v>19</v>
      </c>
    </row>
    <row r="21" spans="2:7" x14ac:dyDescent="0.25">
      <c r="B21" s="9">
        <v>1472266.81</v>
      </c>
      <c r="C21" s="11">
        <v>-703613.29</v>
      </c>
      <c r="D21">
        <v>932</v>
      </c>
      <c r="E21" s="6">
        <v>5117</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4BE9-548F-4A6B-A2E8-FAB7F87B346F}">
  <dimension ref="A1"/>
  <sheetViews>
    <sheetView showGridLines="0" showRowColHeaders="0" tabSelected="1" topLeftCell="B1" zoomScale="70" zoomScaleNormal="70" workbookViewId="0">
      <selection activeCell="AD14" sqref="AD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KPISs</vt:lpstr>
      <vt:lpstr>Rank Physician</vt:lpstr>
      <vt:lpstr>Rank Procedure</vt:lpstr>
      <vt:lpstr>Rank location</vt:lpstr>
      <vt:lpstr>Rank amount owed</vt:lpstr>
      <vt:lpstr>Pivot Tables</vt:lpstr>
      <vt:lpstr>Dashboard</vt:lpstr>
      <vt:lpstr>Grosscharges</vt:lpstr>
      <vt:lpstr>Totalpatients</vt:lpstr>
      <vt:lpstr>Totalphysicians</vt:lpstr>
      <vt:lpstr>Totalrevenue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Solomon Chime</dc:creator>
  <cp:lastModifiedBy>Chidinma Chime</cp:lastModifiedBy>
  <dcterms:created xsi:type="dcterms:W3CDTF">2026-05-18T16:09:15Z</dcterms:created>
  <dcterms:modified xsi:type="dcterms:W3CDTF">2026-10-05T16:08:26Z</dcterms:modified>
</cp:coreProperties>
</file>